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a\Desktop\phd 2026\web programe\"/>
    </mc:Choice>
  </mc:AlternateContent>
  <xr:revisionPtr revIDLastSave="0" documentId="8_{03096D11-D925-4FCB-90E9-3E0350C2C4EA}" xr6:coauthVersionLast="47" xr6:coauthVersionMax="47" xr10:uidLastSave="{00000000-0000-0000-0000-000000000000}"/>
  <bookViews>
    <workbookView xWindow="-108" yWindow="-108" windowWidth="23256" windowHeight="12456" tabRatio="941" xr2:uid="{BB386C0F-93E1-4777-9168-E429A86AE0E0}"/>
  </bookViews>
  <sheets>
    <sheet name="DB - Special Building" sheetId="8" r:id="rId1"/>
    <sheet name="Case 01 - Lumi" sheetId="24" r:id="rId2"/>
    <sheet name="Case 02 - ICBC Tower" sheetId="16" r:id="rId3"/>
    <sheet name="Case 03 - BEEAH Headquarters" sheetId="10" r:id="rId4"/>
    <sheet name="Case 04 - Taipei 101" sheetId="25" r:id="rId5"/>
    <sheet name="Case 05 - Salesforce Tower" sheetId="17" r:id="rId6"/>
    <sheet name="Case 06 - Vanouver Centre II" sheetId="26" r:id="rId7"/>
    <sheet name="Case 07 - Pasoa Headquarters" sheetId="27" r:id="rId8"/>
    <sheet name="Case 08 - Collins Arch" sheetId="18" r:id="rId9"/>
    <sheet name="Case 09 - The Edge" sheetId="28" r:id="rId10"/>
    <sheet name="Case 10 - Bullitt Center" sheetId="29" r:id="rId11"/>
    <sheet name="Case 11 - Ras El-Hekma" sheetId="31" r:id="rId12"/>
  </sheets>
  <externalReferences>
    <externalReference r:id="rId13"/>
  </externalReferences>
  <definedNames>
    <definedName name="_xlnm._FilterDatabase" localSheetId="1" hidden="1">'Case 01 - Lumi'!$A$11:$K$453</definedName>
    <definedName name="_xlnm._FilterDatabase" localSheetId="2" hidden="1">'Case 02 - ICBC Tower'!$A$11:$K$453</definedName>
    <definedName name="_xlnm._FilterDatabase" localSheetId="3" hidden="1">'Case 03 - BEEAH Headquarters'!$A$11:$K$453</definedName>
    <definedName name="_xlnm._FilterDatabase" localSheetId="4" hidden="1">'Case 04 - Taipei 101'!$A$11:$K$453</definedName>
    <definedName name="_xlnm._FilterDatabase" localSheetId="5" hidden="1">'Case 05 - Salesforce Tower'!$A$11:$K$453</definedName>
    <definedName name="_xlnm._FilterDatabase" localSheetId="6" hidden="1">'Case 06 - Vanouver Centre II'!$A$11:$K$453</definedName>
    <definedName name="_xlnm._FilterDatabase" localSheetId="7" hidden="1">'Case 07 - Pasoa Headquarters'!$A$11:$K$453</definedName>
    <definedName name="_xlnm._FilterDatabase" localSheetId="8" hidden="1">'Case 08 - Collins Arch'!$A$11:$K$453</definedName>
    <definedName name="_xlnm._FilterDatabase" localSheetId="9" hidden="1">'Case 09 - The Edge'!$A$11:$K$453</definedName>
    <definedName name="_xlnm._FilterDatabase" localSheetId="10" hidden="1">'Case 10 - Bullitt Center'!$A$11:$K$453</definedName>
    <definedName name="_xlnm._FilterDatabase" localSheetId="11" hidden="1">'Case 11 - Ras El-Hekma'!$A$11:$K$453</definedName>
    <definedName name="_xlnm._FilterDatabase" localSheetId="0" hidden="1">'DB - Special Building'!$A$11:$K$453</definedName>
    <definedName name="ctrlTypo">[1]Admin!$M$2</definedName>
    <definedName name="TblCredit">[1]Admin!$A$4:$F$108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7" i="8" l="1"/>
  <c r="AB18" i="8"/>
  <c r="AB19" i="8"/>
  <c r="AB20" i="8"/>
  <c r="AB21" i="8"/>
  <c r="AB22" i="8"/>
  <c r="AB16" i="8"/>
  <c r="O11" i="31"/>
  <c r="AP8" i="31"/>
  <c r="BI5" i="31"/>
  <c r="BH5" i="31"/>
  <c r="BG5" i="31"/>
  <c r="BF5" i="31"/>
  <c r="BE5" i="31"/>
  <c r="BD5" i="31"/>
  <c r="BC5" i="31"/>
  <c r="BB5" i="31"/>
  <c r="BA5" i="31"/>
  <c r="AZ5" i="31"/>
  <c r="AY5" i="31"/>
  <c r="AX5" i="31"/>
  <c r="AW5" i="31"/>
  <c r="AV5" i="31"/>
  <c r="AU5" i="31"/>
  <c r="AT5" i="31"/>
  <c r="AS5" i="31"/>
  <c r="AM5" i="31"/>
  <c r="AL5" i="31"/>
  <c r="AK5" i="31"/>
  <c r="AJ5" i="31"/>
  <c r="AI5" i="31"/>
  <c r="AH5" i="31"/>
  <c r="AG5" i="31"/>
  <c r="AF5" i="31"/>
  <c r="AE5" i="31"/>
  <c r="AD5" i="31"/>
  <c r="X5" i="31"/>
  <c r="W5" i="31"/>
  <c r="V5" i="31"/>
  <c r="U5" i="31"/>
  <c r="T5" i="31"/>
  <c r="S5" i="31"/>
  <c r="R5" i="31"/>
  <c r="Q5" i="31"/>
  <c r="P5" i="31"/>
  <c r="AB5" i="31" l="1"/>
  <c r="AC5" i="31" s="1"/>
  <c r="N5" i="31"/>
  <c r="O5" i="31" s="1"/>
  <c r="AQ5" i="31"/>
  <c r="N28" i="8"/>
  <c r="N29" i="8"/>
  <c r="N30" i="8"/>
  <c r="N31" i="8"/>
  <c r="N32" i="8"/>
  <c r="N33" i="8"/>
  <c r="N27" i="8"/>
  <c r="AQ17" i="8"/>
  <c r="AQ18" i="8"/>
  <c r="AQ19" i="8"/>
  <c r="AQ20" i="8"/>
  <c r="AQ21" i="8"/>
  <c r="AQ22" i="8"/>
  <c r="AQ16" i="8"/>
  <c r="N17" i="8"/>
  <c r="N18" i="8"/>
  <c r="N19" i="8"/>
  <c r="N20" i="8"/>
  <c r="N21" i="8"/>
  <c r="N22" i="8"/>
  <c r="N16" i="8"/>
  <c r="S11" i="31" l="1"/>
  <c r="AR5" i="31"/>
  <c r="W11" i="31" s="1"/>
  <c r="K367" i="8"/>
  <c r="K366" i="8"/>
  <c r="K342" i="8"/>
  <c r="K343" i="8"/>
  <c r="K344" i="8"/>
  <c r="K345" i="8"/>
  <c r="K346" i="8"/>
  <c r="K347" i="8"/>
  <c r="K341" i="8"/>
  <c r="K316" i="8"/>
  <c r="K317" i="8"/>
  <c r="K318" i="8"/>
  <c r="K315" i="8"/>
  <c r="K291" i="8"/>
  <c r="K292" i="8"/>
  <c r="K293" i="8"/>
  <c r="K294" i="8"/>
  <c r="K290" i="8"/>
  <c r="K269" i="8"/>
  <c r="K270" i="8"/>
  <c r="K271" i="8"/>
  <c r="K268" i="8"/>
  <c r="K249" i="8"/>
  <c r="K250" i="8"/>
  <c r="K248" i="8"/>
  <c r="K230" i="8"/>
  <c r="K231" i="8"/>
  <c r="K229" i="8"/>
  <c r="K206" i="8"/>
  <c r="K207" i="8"/>
  <c r="K205" i="8"/>
  <c r="K106" i="8"/>
  <c r="K107" i="8"/>
  <c r="K108" i="8"/>
  <c r="K105" i="8"/>
  <c r="K75" i="8"/>
  <c r="K76" i="8"/>
  <c r="K77" i="8"/>
  <c r="K78" i="8"/>
  <c r="K79" i="8"/>
  <c r="K74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36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48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19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295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72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51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32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08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72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46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09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80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45" i="8"/>
  <c r="K364" i="8"/>
  <c r="K365" i="8"/>
  <c r="K363" i="8"/>
  <c r="K339" i="8"/>
  <c r="K340" i="8"/>
  <c r="K338" i="8"/>
  <c r="K228" i="8"/>
  <c r="K198" i="8"/>
  <c r="K199" i="8"/>
  <c r="K200" i="8"/>
  <c r="K201" i="8"/>
  <c r="K202" i="8"/>
  <c r="K203" i="8"/>
  <c r="K204" i="8"/>
  <c r="K197" i="8"/>
  <c r="K166" i="8"/>
  <c r="K167" i="8"/>
  <c r="K168" i="8"/>
  <c r="K169" i="8"/>
  <c r="K170" i="8"/>
  <c r="K171" i="8"/>
  <c r="K165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33" i="8"/>
  <c r="K103" i="8"/>
  <c r="K104" i="8"/>
  <c r="K102" i="8"/>
  <c r="K69" i="8"/>
  <c r="K70" i="8"/>
  <c r="K71" i="8"/>
  <c r="K72" i="8"/>
  <c r="K73" i="8"/>
  <c r="K68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15" i="8"/>
  <c r="K14" i="8"/>
  <c r="O11" i="29"/>
  <c r="AP8" i="29"/>
  <c r="BI5" i="29"/>
  <c r="BH5" i="29"/>
  <c r="BG5" i="29"/>
  <c r="BF5" i="29"/>
  <c r="BE5" i="29"/>
  <c r="BD5" i="29"/>
  <c r="BC5" i="29"/>
  <c r="BB5" i="29"/>
  <c r="BA5" i="29"/>
  <c r="AZ5" i="29"/>
  <c r="AY5" i="29"/>
  <c r="AX5" i="29"/>
  <c r="AW5" i="29"/>
  <c r="AV5" i="29"/>
  <c r="AU5" i="29"/>
  <c r="AT5" i="29"/>
  <c r="AS5" i="29"/>
  <c r="AM5" i="29"/>
  <c r="AL5" i="29"/>
  <c r="AK5" i="29"/>
  <c r="AJ5" i="29"/>
  <c r="AI5" i="29"/>
  <c r="AH5" i="29"/>
  <c r="AG5" i="29"/>
  <c r="AF5" i="29"/>
  <c r="AE5" i="29"/>
  <c r="AD5" i="29"/>
  <c r="X5" i="29"/>
  <c r="W5" i="29"/>
  <c r="V5" i="29"/>
  <c r="U5" i="29"/>
  <c r="T5" i="29"/>
  <c r="S5" i="29"/>
  <c r="R5" i="29"/>
  <c r="Q5" i="29"/>
  <c r="P5" i="29"/>
  <c r="O11" i="28"/>
  <c r="AP8" i="28"/>
  <c r="BI5" i="28"/>
  <c r="BH5" i="28"/>
  <c r="BG5" i="28"/>
  <c r="BF5" i="28"/>
  <c r="BE5" i="28"/>
  <c r="BD5" i="28"/>
  <c r="BC5" i="28"/>
  <c r="BB5" i="28"/>
  <c r="BA5" i="28"/>
  <c r="AZ5" i="28"/>
  <c r="AY5" i="28"/>
  <c r="AX5" i="28"/>
  <c r="AW5" i="28"/>
  <c r="AV5" i="28"/>
  <c r="AU5" i="28"/>
  <c r="AT5" i="28"/>
  <c r="AS5" i="28"/>
  <c r="AM5" i="28"/>
  <c r="AL5" i="28"/>
  <c r="AK5" i="28"/>
  <c r="AJ5" i="28"/>
  <c r="AI5" i="28"/>
  <c r="AH5" i="28"/>
  <c r="AG5" i="28"/>
  <c r="AF5" i="28"/>
  <c r="AE5" i="28"/>
  <c r="AD5" i="28"/>
  <c r="X5" i="28"/>
  <c r="W5" i="28"/>
  <c r="V5" i="28"/>
  <c r="U5" i="28"/>
  <c r="T5" i="28"/>
  <c r="S5" i="28"/>
  <c r="R5" i="28"/>
  <c r="Q5" i="28"/>
  <c r="P5" i="28"/>
  <c r="O11" i="27"/>
  <c r="AP8" i="27"/>
  <c r="BI5" i="27"/>
  <c r="BH5" i="27"/>
  <c r="BG5" i="27"/>
  <c r="BF5" i="27"/>
  <c r="BE5" i="27"/>
  <c r="BD5" i="27"/>
  <c r="BC5" i="27"/>
  <c r="BB5" i="27"/>
  <c r="BA5" i="27"/>
  <c r="AZ5" i="27"/>
  <c r="AY5" i="27"/>
  <c r="AX5" i="27"/>
  <c r="AW5" i="27"/>
  <c r="AV5" i="27"/>
  <c r="AU5" i="27"/>
  <c r="AT5" i="27"/>
  <c r="AS5" i="27"/>
  <c r="AM5" i="27"/>
  <c r="AL5" i="27"/>
  <c r="AK5" i="27"/>
  <c r="AJ5" i="27"/>
  <c r="AI5" i="27"/>
  <c r="AH5" i="27"/>
  <c r="AG5" i="27"/>
  <c r="AF5" i="27"/>
  <c r="AE5" i="27"/>
  <c r="AD5" i="27"/>
  <c r="X5" i="27"/>
  <c r="W5" i="27"/>
  <c r="V5" i="27"/>
  <c r="U5" i="27"/>
  <c r="T5" i="27"/>
  <c r="S5" i="27"/>
  <c r="R5" i="27"/>
  <c r="Q5" i="27"/>
  <c r="P5" i="27"/>
  <c r="O11" i="26"/>
  <c r="AP8" i="26"/>
  <c r="BI5" i="26"/>
  <c r="BH5" i="26"/>
  <c r="BG5" i="26"/>
  <c r="BF5" i="26"/>
  <c r="BE5" i="26"/>
  <c r="BD5" i="26"/>
  <c r="BC5" i="26"/>
  <c r="BB5" i="26"/>
  <c r="BA5" i="26"/>
  <c r="AZ5" i="26"/>
  <c r="AY5" i="26"/>
  <c r="AX5" i="26"/>
  <c r="AW5" i="26"/>
  <c r="AV5" i="26"/>
  <c r="AU5" i="26"/>
  <c r="AT5" i="26"/>
  <c r="AS5" i="26"/>
  <c r="AM5" i="26"/>
  <c r="AL5" i="26"/>
  <c r="AK5" i="26"/>
  <c r="AJ5" i="26"/>
  <c r="AI5" i="26"/>
  <c r="AH5" i="26"/>
  <c r="AG5" i="26"/>
  <c r="AF5" i="26"/>
  <c r="AE5" i="26"/>
  <c r="AD5" i="26"/>
  <c r="X5" i="26"/>
  <c r="W5" i="26"/>
  <c r="V5" i="26"/>
  <c r="U5" i="26"/>
  <c r="T5" i="26"/>
  <c r="S5" i="26"/>
  <c r="R5" i="26"/>
  <c r="Q5" i="26"/>
  <c r="P5" i="26"/>
  <c r="O11" i="25"/>
  <c r="AP8" i="25"/>
  <c r="BI5" i="25"/>
  <c r="BH5" i="25"/>
  <c r="BG5" i="25"/>
  <c r="BF5" i="25"/>
  <c r="BE5" i="25"/>
  <c r="BD5" i="25"/>
  <c r="BC5" i="25"/>
  <c r="BB5" i="25"/>
  <c r="BA5" i="25"/>
  <c r="AZ5" i="25"/>
  <c r="AY5" i="25"/>
  <c r="AX5" i="25"/>
  <c r="AW5" i="25"/>
  <c r="AV5" i="25"/>
  <c r="AU5" i="25"/>
  <c r="AT5" i="25"/>
  <c r="AS5" i="25"/>
  <c r="AM5" i="25"/>
  <c r="AL5" i="25"/>
  <c r="AK5" i="25"/>
  <c r="AJ5" i="25"/>
  <c r="AI5" i="25"/>
  <c r="AH5" i="25"/>
  <c r="AG5" i="25"/>
  <c r="AF5" i="25"/>
  <c r="AE5" i="25"/>
  <c r="AD5" i="25"/>
  <c r="X5" i="25"/>
  <c r="W5" i="25"/>
  <c r="V5" i="25"/>
  <c r="U5" i="25"/>
  <c r="T5" i="25"/>
  <c r="S5" i="25"/>
  <c r="R5" i="25"/>
  <c r="Q5" i="25"/>
  <c r="P5" i="25"/>
  <c r="O11" i="24"/>
  <c r="AP8" i="24"/>
  <c r="BI5" i="24"/>
  <c r="BH5" i="24"/>
  <c r="BG5" i="24"/>
  <c r="BF5" i="24"/>
  <c r="BE5" i="24"/>
  <c r="BD5" i="24"/>
  <c r="BC5" i="24"/>
  <c r="BB5" i="24"/>
  <c r="BA5" i="24"/>
  <c r="AZ5" i="24"/>
  <c r="AY5" i="24"/>
  <c r="AX5" i="24"/>
  <c r="AW5" i="24"/>
  <c r="AV5" i="24"/>
  <c r="AU5" i="24"/>
  <c r="AT5" i="24"/>
  <c r="AS5" i="24"/>
  <c r="AM5" i="24"/>
  <c r="AL5" i="24"/>
  <c r="AK5" i="24"/>
  <c r="AJ5" i="24"/>
  <c r="AI5" i="24"/>
  <c r="AH5" i="24"/>
  <c r="AG5" i="24"/>
  <c r="AF5" i="24"/>
  <c r="AE5" i="24"/>
  <c r="AD5" i="24"/>
  <c r="X5" i="24"/>
  <c r="W5" i="24"/>
  <c r="V5" i="24"/>
  <c r="U5" i="24"/>
  <c r="T5" i="24"/>
  <c r="S5" i="24"/>
  <c r="R5" i="24"/>
  <c r="Q5" i="24"/>
  <c r="P5" i="24"/>
  <c r="AP8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P8" i="17"/>
  <c r="BI5" i="17"/>
  <c r="BH5" i="17"/>
  <c r="BG5" i="17"/>
  <c r="BF5" i="17"/>
  <c r="BE5" i="17"/>
  <c r="BD5" i="17"/>
  <c r="BC5" i="17"/>
  <c r="BB5" i="17"/>
  <c r="BA5" i="17"/>
  <c r="AZ5" i="17"/>
  <c r="AY5" i="17"/>
  <c r="AX5" i="17"/>
  <c r="AW5" i="17"/>
  <c r="AV5" i="17"/>
  <c r="AU5" i="17"/>
  <c r="AT5" i="17"/>
  <c r="AS5" i="17"/>
  <c r="AP8" i="10"/>
  <c r="AP8" i="16"/>
  <c r="O11" i="18"/>
  <c r="AM5" i="18"/>
  <c r="AL5" i="18"/>
  <c r="AK5" i="18"/>
  <c r="AJ5" i="18"/>
  <c r="AI5" i="18"/>
  <c r="AH5" i="18"/>
  <c r="AG5" i="18"/>
  <c r="AF5" i="18"/>
  <c r="AE5" i="18"/>
  <c r="AD5" i="18"/>
  <c r="X5" i="18"/>
  <c r="W5" i="18"/>
  <c r="V5" i="18"/>
  <c r="U5" i="18"/>
  <c r="T5" i="18"/>
  <c r="S5" i="18"/>
  <c r="R5" i="18"/>
  <c r="Q5" i="18"/>
  <c r="P5" i="18"/>
  <c r="O11" i="17"/>
  <c r="AM5" i="17"/>
  <c r="AL5" i="17"/>
  <c r="AK5" i="17"/>
  <c r="AJ5" i="17"/>
  <c r="AI5" i="17"/>
  <c r="AH5" i="17"/>
  <c r="AG5" i="17"/>
  <c r="AF5" i="17"/>
  <c r="AE5" i="17"/>
  <c r="AD5" i="17"/>
  <c r="X5" i="17"/>
  <c r="W5" i="17"/>
  <c r="V5" i="17"/>
  <c r="U5" i="17"/>
  <c r="T5" i="17"/>
  <c r="S5" i="17"/>
  <c r="R5" i="17"/>
  <c r="Q5" i="17"/>
  <c r="P5" i="17"/>
  <c r="O11" i="16"/>
  <c r="BI5" i="16"/>
  <c r="BH5" i="16"/>
  <c r="BG5" i="16"/>
  <c r="BF5" i="16"/>
  <c r="BE5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M5" i="16"/>
  <c r="AL5" i="16"/>
  <c r="AK5" i="16"/>
  <c r="AJ5" i="16"/>
  <c r="AI5" i="16"/>
  <c r="AH5" i="16"/>
  <c r="AG5" i="16"/>
  <c r="AF5" i="16"/>
  <c r="AE5" i="16"/>
  <c r="AD5" i="16"/>
  <c r="X5" i="16"/>
  <c r="W5" i="16"/>
  <c r="V5" i="16"/>
  <c r="U5" i="16"/>
  <c r="T5" i="16"/>
  <c r="S5" i="16"/>
  <c r="R5" i="16"/>
  <c r="Q5" i="16"/>
  <c r="P5" i="16"/>
  <c r="AB5" i="28" l="1"/>
  <c r="AC5" i="28" s="1"/>
  <c r="AB5" i="17"/>
  <c r="AC5" i="17" s="1"/>
  <c r="AQ5" i="17"/>
  <c r="AR5" i="17" s="1"/>
  <c r="AB5" i="29"/>
  <c r="AC5" i="29" s="1"/>
  <c r="N5" i="29"/>
  <c r="O5" i="29" s="1"/>
  <c r="AQ5" i="29"/>
  <c r="AR5" i="29" s="1"/>
  <c r="N5" i="28"/>
  <c r="O5" i="28" s="1"/>
  <c r="AQ5" i="28"/>
  <c r="AR5" i="28" s="1"/>
  <c r="AQ5" i="27"/>
  <c r="AR5" i="27" s="1"/>
  <c r="N5" i="27"/>
  <c r="O5" i="27" s="1"/>
  <c r="AB5" i="27"/>
  <c r="AC5" i="27" s="1"/>
  <c r="N5" i="26"/>
  <c r="O5" i="26" s="1"/>
  <c r="AQ5" i="26"/>
  <c r="AR5" i="26" s="1"/>
  <c r="AB5" i="26"/>
  <c r="AC5" i="26" s="1"/>
  <c r="N5" i="25"/>
  <c r="O5" i="25" s="1"/>
  <c r="AB5" i="25"/>
  <c r="AC5" i="25" s="1"/>
  <c r="AQ5" i="25"/>
  <c r="N5" i="24"/>
  <c r="O5" i="24" s="1"/>
  <c r="AB5" i="24"/>
  <c r="AC5" i="24" s="1"/>
  <c r="AQ5" i="24"/>
  <c r="AQ5" i="18"/>
  <c r="AR5" i="18" s="1"/>
  <c r="AB5" i="16"/>
  <c r="AC5" i="16" s="1"/>
  <c r="AQ5" i="16"/>
  <c r="AR5" i="16" s="1"/>
  <c r="AB5" i="18"/>
  <c r="AC5" i="18" s="1"/>
  <c r="N5" i="18"/>
  <c r="O5" i="18" s="1"/>
  <c r="N5" i="17"/>
  <c r="O5" i="17" s="1"/>
  <c r="N5" i="16"/>
  <c r="O5" i="16" s="1"/>
  <c r="T5" i="10"/>
  <c r="O11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M5" i="10"/>
  <c r="AL5" i="10"/>
  <c r="AK5" i="10"/>
  <c r="AJ5" i="10"/>
  <c r="AI5" i="10"/>
  <c r="AH5" i="10"/>
  <c r="AG5" i="10"/>
  <c r="AF5" i="10"/>
  <c r="AE5" i="10"/>
  <c r="AD5" i="10"/>
  <c r="X5" i="10"/>
  <c r="W5" i="10"/>
  <c r="V5" i="10"/>
  <c r="U5" i="10"/>
  <c r="S5" i="10"/>
  <c r="R5" i="10"/>
  <c r="Q5" i="10"/>
  <c r="P5" i="10"/>
  <c r="O11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Q5" i="8" s="1"/>
  <c r="AR5" i="8" s="1"/>
  <c r="AU5" i="8"/>
  <c r="AT5" i="8"/>
  <c r="AS5" i="8"/>
  <c r="AM5" i="8"/>
  <c r="AL5" i="8"/>
  <c r="AK5" i="8"/>
  <c r="AJ5" i="8"/>
  <c r="AI5" i="8"/>
  <c r="AH5" i="8"/>
  <c r="AG5" i="8"/>
  <c r="AF5" i="8"/>
  <c r="AE5" i="8"/>
  <c r="AD5" i="8"/>
  <c r="X5" i="8"/>
  <c r="W5" i="8"/>
  <c r="V5" i="8"/>
  <c r="U5" i="8"/>
  <c r="T5" i="8"/>
  <c r="S5" i="8"/>
  <c r="R5" i="8"/>
  <c r="Q5" i="8"/>
  <c r="N5" i="8" s="1"/>
  <c r="P5" i="8"/>
  <c r="AB5" i="8" l="1"/>
  <c r="AC5" i="8" s="1"/>
  <c r="S11" i="8"/>
  <c r="O5" i="8" a="1"/>
  <c r="O5" i="8" s="1"/>
  <c r="W11" i="8" s="1"/>
  <c r="W11" i="29"/>
  <c r="S11" i="29"/>
  <c r="S11" i="28"/>
  <c r="W11" i="28"/>
  <c r="W11" i="27"/>
  <c r="S11" i="27"/>
  <c r="S11" i="26"/>
  <c r="W11" i="26"/>
  <c r="S11" i="25"/>
  <c r="AR5" i="25"/>
  <c r="W11" i="25" s="1"/>
  <c r="S11" i="24"/>
  <c r="AR5" i="24"/>
  <c r="W11" i="24" s="1"/>
  <c r="W11" i="18"/>
  <c r="S11" i="18"/>
  <c r="S11" i="17"/>
  <c r="W11" i="17"/>
  <c r="S11" i="16"/>
  <c r="W11" i="16"/>
  <c r="AB5" i="10"/>
  <c r="AC5" i="10" s="1"/>
  <c r="AQ5" i="10"/>
  <c r="AR5" i="10" s="1"/>
  <c r="N5" i="10"/>
  <c r="O5" i="10" s="1"/>
  <c r="S11" i="10" l="1"/>
  <c r="W1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<sst xmlns="http://schemas.openxmlformats.org/spreadsheetml/2006/main" count="33551" uniqueCount="960">
  <si>
    <t>ALL
SR</t>
  </si>
  <si>
    <t>AG
SR</t>
  </si>
  <si>
    <t>Type
of Building</t>
  </si>
  <si>
    <t>Assessment
Groups</t>
  </si>
  <si>
    <t>Group
Items</t>
  </si>
  <si>
    <t>Items
Description</t>
  </si>
  <si>
    <t>Items
Classifications</t>
  </si>
  <si>
    <t>Items
Types</t>
  </si>
  <si>
    <t>Available
Points
(AP)</t>
  </si>
  <si>
    <t>Earned
Points
(EP)</t>
  </si>
  <si>
    <t>Earned
Points
(EP) %</t>
  </si>
  <si>
    <t>Special Building (free style)</t>
  </si>
  <si>
    <t>Site &amp; Environment-AG</t>
  </si>
  <si>
    <t xml:space="preserve">Smart Sustainable Infrastructure &amp; Buildings </t>
  </si>
  <si>
    <t>Advance holistic architectural stewardship by reconciling ecological vitality with human wellness and optimized land logistics.</t>
  </si>
  <si>
    <t>Sustainable</t>
  </si>
  <si>
    <t>Essential</t>
  </si>
  <si>
    <t>R</t>
  </si>
  <si>
    <t>Water Use Reduction</t>
  </si>
  <si>
    <t>Aggressively curtail potable water demand across all interior fixtures and landscape irrigation systems.</t>
  </si>
  <si>
    <t>Optional</t>
  </si>
  <si>
    <t>Compact, Mixed Use and Transit Oriented Development</t>
  </si>
  <si>
    <t>Incentivize high-density metropolitan completion to stall peripheral encroachment and concentrate resource utility.</t>
  </si>
  <si>
    <t>Wastewater Management</t>
  </si>
  <si>
    <t>Engineer circular aqueous systems that rejuvenate local hydrology and facilitate the purification of reclaimed water.</t>
  </si>
  <si>
    <t>Rainwater Management</t>
  </si>
  <si>
    <t>Control precipitative runoff via biomimicry to restore natural drainage patterns and prevent downstream contamination.</t>
  </si>
  <si>
    <t>Mixed-Use Neighborhoods</t>
  </si>
  <si>
    <t>Prioritize the revitalization of established districts to curtail territorial expansion and maximize legacy infrastructure.</t>
  </si>
  <si>
    <t>Preferred Locations</t>
  </si>
  <si>
    <t>Foster equilibrium in mature neighborhoods by aligning residential availability with localized employment hubs.</t>
  </si>
  <si>
    <t>Smart Mobility and Transportation Policy</t>
  </si>
  <si>
    <t>Advocate for concentrated civic footprints that safeguard undeveloped "greenfield" territories from industrialization.</t>
  </si>
  <si>
    <t>Transportation Demand Management</t>
  </si>
  <si>
    <t>Cultivate diverse mobility ecosystems that secure pedestrian safety and stimulate communal physical vigor.</t>
  </si>
  <si>
    <t xml:space="preserve">Bicycle Facilities </t>
  </si>
  <si>
    <t>Catalyze public health improvements by normalizing non-motorized transit and collective social participation.</t>
  </si>
  <si>
    <t>Smart Location and Regional Priority</t>
  </si>
  <si>
    <t>Direct growth toward high-utility nodes that harmonize regional urgency with equitable environmental access.</t>
  </si>
  <si>
    <t>Long-Term Conservation Management of Habitat</t>
  </si>
  <si>
    <t>Safeguard the permanence of indigenous wetlands and aquatic corridors to bolster regional biological variety.</t>
  </si>
  <si>
    <t>Recycled and Reused Infrastructure</t>
  </si>
  <si>
    <t>Valorize cultural heritage by repurposing vintage assets and integrating salvaged components into modern builds.</t>
  </si>
  <si>
    <t>Brownfield Remediation</t>
  </si>
  <si>
    <t>Rehabilitate formerly industrial or contaminated lands to neutralize toxins and improve the local microclimate.</t>
  </si>
  <si>
    <t>Site Development - Protect or Restore Habitat</t>
  </si>
  <si>
    <t>Implement active stewardship programs that stabilize fragile ecosystems within the immediate development perimeter.</t>
  </si>
  <si>
    <t>Urban Heat Mitigation</t>
  </si>
  <si>
    <t>Counteract localized atmospheric warming by neutralizing the thermal absorption of dense mineral-based urban surfaces.</t>
  </si>
  <si>
    <t>Visitability and Universal Design</t>
  </si>
  <si>
    <t>Ensure universal mobility through barrier-free design that accommodates diverse physical and cognitive requirements.</t>
  </si>
  <si>
    <t>Housing Types and Affordability</t>
  </si>
  <si>
    <t>Integrate socio-economically inclusive residential zones with accessible greenery to strengthen neighborhood bonds.</t>
  </si>
  <si>
    <t>Certified Green Buildings</t>
  </si>
  <si>
    <t>Codify rigorous assembly benchmarks to govern the entire material lifecycle, from raw extraction to terminal dismantling.</t>
  </si>
  <si>
    <t>Green Building Policy and Incentives</t>
  </si>
  <si>
    <t>Uphold regenerative structural philosophies that exceed standard environmental compliance.</t>
  </si>
  <si>
    <t>Optimize Building Energy Performance</t>
  </si>
  <si>
    <t>Attain peak thermal efficiency through passive architectural envelopes and the assimilation of on-site clean power.</t>
  </si>
  <si>
    <t xml:space="preserve">Community Outreach and Involvement </t>
  </si>
  <si>
    <t>Institutionalize participatory governance by embedding stakeholder feedback into the long-term evolution of the project.</t>
  </si>
  <si>
    <t>Integrative Planning and Leadership</t>
  </si>
  <si>
    <t>Establish transparent conduits for local advocacy and collaborative planning throughout the project lifecycle.</t>
  </si>
  <si>
    <t>Infrastructure Energy Efficiency</t>
  </si>
  <si>
    <t>Modernize district-level utilities through decentralized power grids and innovative infrastructural conservation.</t>
  </si>
  <si>
    <t>Open Space</t>
  </si>
  <si>
    <t>Engineer inclusive outdoor environments that facilitate nature-positive recreation while eliminating chemical maintenance.</t>
  </si>
  <si>
    <t>Site Assessment</t>
  </si>
  <si>
    <t>Mitigate risks for sensitive demographics by identifying and purging latent environmental pollutants from the site.</t>
  </si>
  <si>
    <t>Local Food Production</t>
  </si>
  <si>
    <t>Allot dedicated acreage for localized agriculture to bolster food security and provide educational garden spaces.</t>
  </si>
  <si>
    <t>Nocturnal Sky Glow Abatement</t>
  </si>
  <si>
    <t>Shield nocturnal environments from luminous spillover to maintain celestial clarity and prevent circadian disruption.</t>
  </si>
  <si>
    <t>Minimized Site Disturbance</t>
  </si>
  <si>
    <t>Uphold a "no-net-loss" policy for established vegetation and permeable topsoil during site preparation.</t>
  </si>
  <si>
    <t>Heat Island Reduction</t>
  </si>
  <si>
    <t>Deploy high-albedo materials and vegetative canopies to disrupt the accumulation of trapped radiant heat.</t>
  </si>
  <si>
    <t>Light Pollution Reduction</t>
  </si>
  <si>
    <t>Limit artificial radiance to protect the biological rhythms of local fauna and the visual integrity of the cosmos.</t>
  </si>
  <si>
    <t>Site Management</t>
  </si>
  <si>
    <t>Align operational maintenance with environmental logic to ensure the building functions as a symbiotic extension of its plot.</t>
  </si>
  <si>
    <t>Environmental Impact Monitoring</t>
  </si>
  <si>
    <t>Deploy autonomous sensing arrays to provide real-time transparency regarding environmental disturbances post-occupancy.</t>
  </si>
  <si>
    <t>Intelligent</t>
  </si>
  <si>
    <t>Integrated Site Management Systems</t>
  </si>
  <si>
    <t>Streamline facility workflows through predictive logistics and automated maintenance scheduling.</t>
  </si>
  <si>
    <t>Climate-Responsive Design Strategies</t>
  </si>
  <si>
    <t>Synthesize hyper-local meteorological data to calibrate indoor comfort parameters and HVAC load demands.</t>
  </si>
  <si>
    <t>Technology Integration</t>
  </si>
  <si>
    <t>Appraise the synergy between automated building systems and the resulting qualitative improvements for users.</t>
  </si>
  <si>
    <t>Smart Stormwater Management</t>
  </si>
  <si>
    <t>Govern hydraulic infrastructure via intelligent forecasting to preempt flood events and maintain filtration quality.</t>
  </si>
  <si>
    <t>Carbon Footprint Assessment</t>
  </si>
  <si>
    <t>Quantify greenhouse gas emissions through automated carbon accounting of all construction and operational phases.</t>
  </si>
  <si>
    <t>Waste Minimization Strategies</t>
  </si>
  <si>
    <t>Apply machine learning to supply chains to minimize material surplus and maximize the circularity of waste streams.</t>
  </si>
  <si>
    <t>Space Utilization</t>
  </si>
  <si>
    <t>Quantify volumetric efficiency by auditing the occupancy-to-utility ratio across various functional zones.</t>
  </si>
  <si>
    <t>Site Selection Optimization</t>
  </si>
  <si>
    <t>Execute algorithmic site-selection protocols to weigh carbon footprints against logistical accessibility metrics.</t>
  </si>
  <si>
    <t>Climate Resilience Assessment</t>
  </si>
  <si>
    <t>Model future climate scenarios to guide structural adaptations for long-term geophysical resilience.</t>
  </si>
  <si>
    <t>Transportation Accessibility Analysis</t>
  </si>
  <si>
    <t>Analyze multimodal transit patterns to identify and correct gaps in low-carbon commuting infrastructure.</t>
  </si>
  <si>
    <t>Soil Quality Monitoring</t>
  </si>
  <si>
    <t>Diagnose subterranean health via digital mapping to optimize soil chemistry for structural and botanical stability.</t>
  </si>
  <si>
    <t>Biodiversity Enhancement</t>
  </si>
  <si>
    <t>Use computational ecology to design landscape layouts that maximize the arrival and survival of native species.</t>
  </si>
  <si>
    <t>Habitat Restoration Planning</t>
  </si>
  <si>
    <t>Direct habitat reconstruction using digital twins to replicate complex pre-development ecological conditions.</t>
  </si>
  <si>
    <t>Air-AG</t>
  </si>
  <si>
    <t>Compartmentalization</t>
  </si>
  <si>
    <t>Restrict inter-unit atmospheric transfer and regulate humidity while neutralizing contaminants generated during renovations or pest management.</t>
  </si>
  <si>
    <t>Green Cleaning Policy</t>
  </si>
  <si>
    <t>Implement rigorous disinfection frameworks that prioritize low-impact, biodegradable substances to minimize resident exposure to allergens.</t>
  </si>
  <si>
    <t>Green Spaces - Communities</t>
  </si>
  <si>
    <t>Cultivate a participatory ecosystem where neighbor feedback drives the ecological optimization of ongoing facility upkeep.</t>
  </si>
  <si>
    <t>Indoor Air Quality and Tobacco Smoke Control</t>
  </si>
  <si>
    <t>Codify foundational atmospheric benchmarks that strictly prohibit nicotine-related emissions and limit construction-phase debris.</t>
  </si>
  <si>
    <t>Indoor Air Quality Performance</t>
  </si>
  <si>
    <t>Maximize workplace performance by integrating advanced thermal regulation and high-volume filtration to exclude secondary smoke and airborne irritants.</t>
  </si>
  <si>
    <t>Radon and Combustion Venting</t>
  </si>
  <si>
    <t>Mitigate physiological risks via the systematic detection and neutralization of soil gases and carbonaceous exhaust.</t>
  </si>
  <si>
    <t>Ventilation and Pollutant Protection</t>
  </si>
  <si>
    <t>Stabilize the interior microclimate by isolating localized vapor and effluent sources, such as culinary areas and subterranean vehicle storage.</t>
  </si>
  <si>
    <t>Extreme Weather Warnings</t>
  </si>
  <si>
    <t>Bolster community fortitude through rapid-response weather broadcasting and specialized logistics for citizens sensitive to thermal extremes.</t>
  </si>
  <si>
    <t>Healthy</t>
  </si>
  <si>
    <t>Fundamental Air Quality</t>
  </si>
  <si>
    <t>Champion broader civic wellness by incentivizing the creation of expansive, smoke-free districts and low-emission urban corridors.</t>
  </si>
  <si>
    <t>Indoor Air Quality Management</t>
  </si>
  <si>
    <t>Establish a holistic wellness environment through superior ventilation architecture and the elimination of environmental tobacco particles.</t>
  </si>
  <si>
    <t>Indoor Air Quality Assessment</t>
  </si>
  <si>
    <t>Balance ambient humidity and air purity by engineering specific extraction systems for high-moisture zones like lavatories.</t>
  </si>
  <si>
    <t>Green Cleaning- Products and Materials</t>
  </si>
  <si>
    <t>Abolish hazardous residues through the deployment of non-toxic sanitation technologies and sustainable material management.</t>
  </si>
  <si>
    <t>Green Cleaning- Equipment</t>
  </si>
  <si>
    <t>Execute a multifaceted defense against microbes and particulates by auditing all cleaning and pest-related chemical inputs.</t>
  </si>
  <si>
    <t>Air Quality and Contaminant Control</t>
  </si>
  <si>
    <t>Sustain long-term occupant vitality through persistent observation of gas-phase toxins and heavy-particle accumulations.</t>
  </si>
  <si>
    <t>Occupant Comfort Survey</t>
  </si>
  <si>
    <t>Drive continuous building evolution through social transparency and the adoption of regenerative maintenance protocols.</t>
  </si>
  <si>
    <t>Urban Heat and Cold Adaptation</t>
  </si>
  <si>
    <t>Fortify local resilience against heatwaves and frost through educational outreach and targeted emergency support frameworks.</t>
  </si>
  <si>
    <t>Urban Water Bodies, Vegetation and Green Spaces</t>
  </si>
  <si>
    <t>Neutralize the "heat island" effect by integrating high-albedo surfaces and expanded canopy coverage.</t>
  </si>
  <si>
    <t>Air Quality and Low Emission</t>
  </si>
  <si>
    <t>Incentivize carbon-neutral mobility and educate the populace on localized geogenic gas risks like radon.</t>
  </si>
  <si>
    <t>Long and short-Terms Air Quality</t>
  </si>
  <si>
    <t>Establish protective geographic buffers to separate high-density populations from industrial or logistical emission hubs.</t>
  </si>
  <si>
    <t>Outdoor Smoking Ban</t>
  </si>
  <si>
    <t>Enforce comprehensive anti-smoking ordinances to safeguard non-users across all public and semi-public interior spaces.</t>
  </si>
  <si>
    <t>Personal Sun Exposure</t>
  </si>
  <si>
    <t>Coordinate a community-wide strategy to mitigate skin-health risks through solar shielding and UV awareness initiatives.</t>
  </si>
  <si>
    <t>Integration of Air Quality with Building Management</t>
  </si>
  <si>
    <t>Orchestrate building-wide synergy by nesting atmospheric data within an AI-driven master control interface.</t>
  </si>
  <si>
    <t>Advanced Air Quality Monitoring</t>
  </si>
  <si>
    <t>Deploy machine-learning sensors to provide instantaneous diagnostic readouts of the interior breathable environment.</t>
  </si>
  <si>
    <t>Automated Ventilation Control</t>
  </si>
  <si>
    <t>Automate air-exchange cycles based on real-time headcount and dynamic gas-concentration thresholds.</t>
  </si>
  <si>
    <t>Pollutant Source Identification</t>
  </si>
  <si>
    <t>Apply forensic AI analysis to pinpoint the origin of localized aerosol spikes for immediate containment.</t>
  </si>
  <si>
    <t>CO2 Level Management</t>
  </si>
  <si>
    <t>Regulate carbon dioxide saturation levels through autonomous setpoint adjustments to ensure mental clarity for occupants.</t>
  </si>
  <si>
    <t>Continuous VOC Monitoring</t>
  </si>
  <si>
    <t>Maintain a vigilant AI-watch for off-gassing chemicals, triggering rapid-purge sequences upon detection.</t>
  </si>
  <si>
    <t>Smart Filtration Systems</t>
  </si>
  <si>
    <t>Predict filter degradation and maximize scrubbing efficiency through an intelligent, preventative maintenance algorithm.</t>
  </si>
  <si>
    <t>Integration with Outdoor Air Quality Data</t>
  </si>
  <si>
    <t>Synchronize indoor filtration intensity with fluctuating outdoor smog levels to preemptively shield the interior.</t>
  </si>
  <si>
    <t>Thermal Comfort Optimization</t>
  </si>
  <si>
    <t>Calibrate HVAC output through thermal mapping and presence-sensing to eliminate energy waste in vacant zones.</t>
  </si>
  <si>
    <t>Air Quality Improvement Strategies</t>
  </si>
  <si>
    <t>Iteratively refine building health protocols by analyzing historical performance trends through deep-learning models.</t>
  </si>
  <si>
    <t>Humidity Control Systems</t>
  </si>
  <si>
    <t>Avert microbial growth and preserve structural integrity by maintaining a precise, AI-governed moisture balance.</t>
  </si>
  <si>
    <t>Natural Ventilation Optimization</t>
  </si>
  <si>
    <t>Harness external wind patterns and pressure differentials via AI to maximize passive cooling potential.</t>
  </si>
  <si>
    <t>Seasonal Air Quality Adaptation</t>
  </si>
  <si>
    <t>Auto-configure building operations to align with shifting astronomical cycles and regional climatic transitions.</t>
  </si>
  <si>
    <t>Smart Air Distribution Systems</t>
  </si>
  <si>
    <t>Engineer uniform air diffusion patterns via AI to eliminate stagnant pockets and thermal stratification.</t>
  </si>
  <si>
    <t>Personalized Air Quality Preferences</t>
  </si>
  <si>
    <t>Empower individuals to customize their immediate microclimate through an AI-responsive personal preference portal.</t>
  </si>
  <si>
    <t>AI-Driven Indoor Plant Systems</t>
  </si>
  <si>
    <t>Optimize biological filtration by monitoring and automating the metabolic health of interior botanical installations.</t>
  </si>
  <si>
    <t>Smart Air Quality Alerts</t>
  </si>
  <si>
    <t>Interface directly with users via automated notifications to signal atmospheric anomalies or required behavioral shifts.</t>
  </si>
  <si>
    <t>Water-AG</t>
  </si>
  <si>
    <t>Indoor Water Use Reduction</t>
  </si>
  <si>
    <t>Establish a high-efficiency indoor baseline by integrating ultra-low-consumption hardware and persistent auditing protocols.</t>
  </si>
  <si>
    <t>Outdoor Water Use Reduction</t>
  </si>
  <si>
    <t>Limit exterior hydraulic demand through xeriscaping and the rigorous benchmarking of irrigation volumes.</t>
  </si>
  <si>
    <t>Water Access and Quality</t>
  </si>
  <si>
    <t>Optimize evaporative cooling systems by minimizing blowdown cycles and mitigating chemical/biological fouling.</t>
  </si>
  <si>
    <t>Water Metering</t>
  </si>
  <si>
    <t>Formalize a geographical water-risk ledger to maintain operational continuity during local scarcity or contamination events.</t>
  </si>
  <si>
    <t>Drinking Water Quality</t>
  </si>
  <si>
    <t>Guarantee high-caliber hydration stations that eliminate pathogens while actively discouraging the use of sweetened alternatives.</t>
  </si>
  <si>
    <t>Building-Level Water Metering</t>
  </si>
  <si>
    <t>Implement a comprehensive suite of EPA WaterSense-equivalent fittings to lower the building's volumetric footprint.</t>
  </si>
  <si>
    <t>Interior Water Conservation Measures</t>
  </si>
  <si>
    <t>Deploy adaptive plumbing infrastructure designed to exceed standard flow-rate reductions through diagnostic usage analytics.</t>
  </si>
  <si>
    <t>Integrated Water Management</t>
  </si>
  <si>
    <t>Synthesize local hydrological intelligence with site-specific performance metrics to identify untapped conservation avenues.</t>
  </si>
  <si>
    <t>High Quality Drinking Water</t>
  </si>
  <si>
    <t>Fortify end-point filtration to remove disinfectants and heavy metals, reinforcing the building's role in occupant wellness.</t>
  </si>
  <si>
    <t>Water Performance</t>
  </si>
  <si>
    <t>Execute a chemical management plan for heat rejection equipment to curtail makeup requirements and prevent calcification.</t>
  </si>
  <si>
    <t>Stormwater Management</t>
  </si>
  <si>
    <t>Mitigate combined sewer overflows by engineering on-site detention and bio-filtration for heavy precipitation events.</t>
  </si>
  <si>
    <t>Water Feature Sanitation</t>
  </si>
  <si>
    <t>Adopt a proactive Legionellosis risk management strategy for all decorative and technical aqueous environments.</t>
  </si>
  <si>
    <t>Smart Water Usage Monitoring</t>
  </si>
  <si>
    <t>Employ neural networks to decipher complex consumption trends and provide instantaneous hydraulic transparency.</t>
  </si>
  <si>
    <t>Leak Detection Systems</t>
  </si>
  <si>
    <t>Automate plumbing vulnerability assessments via acoustic or volumetric AI sensors to intercept catastrophic failures.</t>
  </si>
  <si>
    <t>Greywater Recycling Systems</t>
  </si>
  <si>
    <t>Refine the reclamation and purification of non-blackwater sources for secondary building utilities.</t>
  </si>
  <si>
    <t>Water Quality Monitoring</t>
  </si>
  <si>
    <t>Automate the surveillance of chemical and physical water parameters to ensure 24/7 regulatory adherence.</t>
  </si>
  <si>
    <t>Water System Predictive Maintenance</t>
  </si>
  <si>
    <t>Forecast component degradation within water distribution networks to facilitate preemptive, data-backed repairs.</t>
  </si>
  <si>
    <t>Automated Irrigation Management</t>
  </si>
  <si>
    <t>Synchronize landscape hydration with live meteorological data and soil-sensor feedback loops for precision watering.</t>
  </si>
  <si>
    <t>Rainwater Harvesting Optimization</t>
  </si>
  <si>
    <t>Coordinate the harvest, storage, and prioritized distribution of meteoric water using predictive logic.</t>
  </si>
  <si>
    <t>Smart Water Conservation Strategies</t>
  </si>
  <si>
    <t>Translate granular data into actionable conservation interventions through machine-learning-driven priority modeling.</t>
  </si>
  <si>
    <t>Automated Water Treatment Systems</t>
  </si>
  <si>
    <t>Enhance treatment plant throughput and quality by dynamically adjusting chemical dosing and filtration rates.</t>
  </si>
  <si>
    <t>Emergency Water Supply Management</t>
  </si>
  <si>
    <t>Model contingency distribution pathways to maintain critical hydration during municipal supply disruptions.</t>
  </si>
  <si>
    <t>Water Usage Analytics for Decision Making</t>
  </si>
  <si>
    <t>Distill complex utility datasets into strategic governance frameworks to elevate overall facility performance.</t>
  </si>
  <si>
    <t>Automated Water Pressure Management</t>
  </si>
  <si>
    <t>Govern pump speeds and pressure-reducing valves to enhance fixture longevity and user comfort.</t>
  </si>
  <si>
    <t>Water Flow Optimization</t>
  </si>
  <si>
    <t>Calibrate zone-specific hydraulic delivery to match real-time occupancy and operational requirements.</t>
  </si>
  <si>
    <t>Community Water Resource Management</t>
  </si>
  <si>
    <t>Align facility-level water management with broader municipal resource grids for collective resilience.</t>
  </si>
  <si>
    <t>Seasonal Water Demand Forecasting</t>
  </si>
  <si>
    <t>Anticipate cyclical demand fluctuations to stabilize reservoir levels and procurement schedules.</t>
  </si>
  <si>
    <t>Smart Fixture Management</t>
  </si>
  <si>
    <t>Evaluate the mechanical integrity of individual terminal units to maintain peak hydraulic performance.</t>
  </si>
  <si>
    <t>Sustainable Landscaping Practices</t>
  </si>
  <si>
    <t>Leverage computational ecology to maintain landscapes that maximize biodiversity while minimizing supplemental moisture.</t>
  </si>
  <si>
    <t>Integration with Smart Appliances</t>
  </si>
  <si>
    <t>Unify heavy-duty wash cycles with building-wide energy and water-saving priority modes.</t>
  </si>
  <si>
    <t>Real-Time Water Usage Alerts</t>
  </si>
  <si>
    <t>Execute a digital feedback loop that alerts users to anomalous consumption, fostering a culture of resource stewardship.</t>
  </si>
  <si>
    <t>Energy-AG</t>
  </si>
  <si>
    <t>Building-Level Energy Metering</t>
  </si>
  <si>
    <t>Implement rigorous commissioning frameworks to audit facility-wide resource flows and verify performance benchmarks.</t>
  </si>
  <si>
    <t>Energy Efficiency Best Management Practices</t>
  </si>
  <si>
    <t>Establish granular metering protocols at the sub-system level to pinpoint specific operational inefficiencies.</t>
  </si>
  <si>
    <t>Energy Performance</t>
  </si>
  <si>
    <t>Align development life-cycles with multi-stakeholder durability goals to minimize long-term ecological footprints.</t>
  </si>
  <si>
    <t>Occupants Training</t>
  </si>
  <si>
    <t>Cultivate resident competency through structured technical orientations regarding the stewardship of high-performance assets.</t>
  </si>
  <si>
    <t>Energy and Atmosphere</t>
  </si>
  <si>
    <t>Prioritize on-site clean energy generation to displace carbon-intensive power sources and protect atmospheric chemistry.</t>
  </si>
  <si>
    <t>Optimize Energy Performance</t>
  </si>
  <si>
    <t>Exceed mandatory baseline thresholds by integrating holistic energy-saving measures that safeguard project viability.</t>
  </si>
  <si>
    <t>Renewable Energy Production</t>
  </si>
  <si>
    <t>Decouple building operations from fossil fuel dependency through aggressive self-generation targets and superior thermal standards.</t>
  </si>
  <si>
    <t>Existing Building Commissioning</t>
  </si>
  <si>
    <t>Leverage ongoing commissioning cycles to convert raw consumption data into actionable resource-efficiency upgrades.</t>
  </si>
  <si>
    <t>High Efficiency Appliances</t>
  </si>
  <si>
    <t>Integrate photovoltaic or wind arrays while refining hydronic distribution to lower the cumulative strain on municipal utilities.</t>
  </si>
  <si>
    <t>Annual Energy Use and Energy Efficient</t>
  </si>
  <si>
    <t>Execute passive solar architectures and optimize domestic water routing to eliminate latent heat transfer losses.</t>
  </si>
  <si>
    <t>Renewable Energy and Carbon Offsets</t>
  </si>
  <si>
    <t>Mitigate climate impact by synchronizing facility loads with grid-source clean power and participation in carbon-neutral programs.</t>
  </si>
  <si>
    <t>Efficient Domestic Energy Equipment</t>
  </si>
  <si>
    <t>Address the building envelope’s integrity by neutralizing thermal bridges and sealing airtightness vulnerabilities.</t>
  </si>
  <si>
    <t>Energy Efficiency</t>
  </si>
  <si>
    <t>Institutionalize institutional knowledge retention for facility staff to ensure complex efficiency systems remain calibrated.</t>
  </si>
  <si>
    <t>Grid Harmonization</t>
  </si>
  <si>
    <t>Incentivize active load-shifting capabilities to bolster the resilience and efficiency of the regional power distribution network.</t>
  </si>
  <si>
    <t>Energy and Greenhouse Performance</t>
  </si>
  <si>
    <t>Offset residual building emissions by investing in certified off-site carbon sequestration and green-grid technologies.</t>
  </si>
  <si>
    <t>Renewable Energy Efficiency</t>
  </si>
  <si>
    <t>Conduct comprehensive energy diagnostics to identify fiscal and operational avenues for transitioning to self-sustained power.</t>
  </si>
  <si>
    <t>Enhanced Refrigerant Management</t>
  </si>
  <si>
    <t>Enforce strict refrigerant management policies to satisfy international protocols and curb the use of high-GWP chemicals.</t>
  </si>
  <si>
    <t>Advanced Energy Metering</t>
  </si>
  <si>
    <t>Deploy high-frequency data logging to maintain the integrity of long-term energy conservation archives.</t>
  </si>
  <si>
    <t>Energy Efficiency Optimization</t>
  </si>
  <si>
    <t>Utilize machine learning to synthesize historical consumption trends into optimized energy-use profiles.</t>
  </si>
  <si>
    <t>Smart Energy Management</t>
  </si>
  <si>
    <t>Apply predictive modeling to anticipate peak demand surges and preemptively adjust building loads.</t>
  </si>
  <si>
    <t>Integration with Smart Grids</t>
  </si>
  <si>
    <t>Establish bidirectional communication interfaces between the facility and utility providers for dynamic energy balancing.</t>
  </si>
  <si>
    <t>Automated Demand Response</t>
  </si>
  <si>
    <t>Activate autonomous curtailment protocols that modulate non-critical power usage during high-stress grid conditions.</t>
  </si>
  <si>
    <t>Energy Storage Optimization</t>
  </si>
  <si>
    <t>Coordinate electrochemical or thermal storage discharge cycles through AI-managed dispatch logic.</t>
  </si>
  <si>
    <t>HVAC System Automation</t>
  </si>
  <si>
    <t>Deploy adaptive climate control loops that reorganize heating and cooling output based on live spatial occupancy.</t>
  </si>
  <si>
    <t>Predictive Maintenance for Energy Systems</t>
  </si>
  <si>
    <t>Identify mechanical degradation early via anomaly detection to extend the lifecycle of energy-critical hardware.</t>
  </si>
  <si>
    <t>Climate Adaptive Energy Strategies</t>
  </si>
  <si>
    <t>Calibrate building response parameters dynamically against external meteorological shifts and hyper-local climate data.</t>
  </si>
  <si>
    <t>Smart Appliances Integration</t>
  </si>
  <si>
    <t>Network smart-end-use devices to negotiate their power draw in alignment with the building’s overall energy priorities.</t>
  </si>
  <si>
    <t>Renewable Energy Integration</t>
  </si>
  <si>
    <t>Engineer infrastructure specifically for the seamless physical and electrical fusion of intermittent renewable inputs.</t>
  </si>
  <si>
    <t>Building Energy Monitoring</t>
  </si>
  <si>
    <t>Harvest continuous streams of operational data to generate automated, intelligence-driven efficiency reports.</t>
  </si>
  <si>
    <t>Lighting Control Systems</t>
  </si>
  <si>
    <t>Synthesize daylight harvesting and presence-sensing through intelligent arrays to minimize illumination waste.</t>
  </si>
  <si>
    <t>Electric Vehicle (EV) Charging Management</t>
  </si>
  <si>
    <t>Manage EV charging infrastructure to prevent spikes in building demand while maximizing the use of available capacity.</t>
  </si>
  <si>
    <t>Energy Audit Automation</t>
  </si>
  <si>
    <t>Digitally simulate audit walkthroughs to provide a continuous stream of corrective energy-saving measures.</t>
  </si>
  <si>
    <t>Carbon Footprint Tracking</t>
  </si>
  <si>
    <t>Automate the quantification of the building’s Scope 1 and 2 carbon output through real-time emissions monitoring.</t>
  </si>
  <si>
    <t>Water-Energy Nexus Optimization</t>
  </si>
  <si>
    <t>Mathematically model the nexus between fluid dynamics and pumping power to reduce the energy intensity of water delivery.</t>
  </si>
  <si>
    <t>Energy Use Visualization</t>
  </si>
  <si>
    <t>Transpose complex consumption metrics into intuitive, user-facing dashboards to foster behavioral conservation.</t>
  </si>
  <si>
    <t>User-Centric Energy Feedback</t>
  </si>
  <si>
    <t>Deliver bespoke, data-driven conservation tips to occupants based on their specific appliance interactions.</t>
  </si>
  <si>
    <t>Mobility-AG</t>
  </si>
  <si>
    <t>Floodplain Avoidance</t>
  </si>
  <si>
    <t>Limit the ecological disturbances caused by the physical building boundary.</t>
  </si>
  <si>
    <t>Neighborhood Development Location</t>
  </si>
  <si>
    <t>Prioritize the selection of high-priority locations that foster pedestrian-centric lifestyles and metabolic well-being.</t>
  </si>
  <si>
    <t>Alternative Transportation</t>
  </si>
  <si>
    <t>Mitigate the negative externalities of vehicle storage, specifically regarding stormwater management and spatial waste.</t>
  </si>
  <si>
    <t>Access to Quality Transit</t>
  </si>
  <si>
    <t>Situate projects within diverse transit hubs to curtail atmospheric pollutants and carbon discharges.</t>
  </si>
  <si>
    <t>Compact Development</t>
  </si>
  <si>
    <t>Foster densified urban clusters that maximize spatial utility and communal vibrancy.</t>
  </si>
  <si>
    <t>High Priority Site</t>
  </si>
  <si>
    <t>Safeguard fragile ecosystems by diverting construction toward previously disturbed or resilient landscapes.</t>
  </si>
  <si>
    <t>Transportation Performance</t>
  </si>
  <si>
    <t>Leverage existing civic utilities to discourage sprawl and preserve agricultural or natural biomes.</t>
  </si>
  <si>
    <t>Bicycle Facilities</t>
  </si>
  <si>
    <t>Incentivize non-motorized commuting to diminish reliance on personal fossil-fuel-dependent vehicles.</t>
  </si>
  <si>
    <t>Integration with Public Transport</t>
  </si>
  <si>
    <t>Employ machine learning to synchronize building-to-transit communication for fluid passenger transfers.</t>
  </si>
  <si>
    <t>Automated Traffic Management</t>
  </si>
  <si>
    <t>Utilize algorithmic modeling to alleviate roadway bottlenecks in the immediate facility vicinity.</t>
  </si>
  <si>
    <t>Pedestrian Safety Systems</t>
  </si>
  <si>
    <t>Implement vigilant computational monitoring to alert and protect individuals traversing walkways.</t>
  </si>
  <si>
    <t>Bicycle Sharing Programs</t>
  </si>
  <si>
    <t>Orchestrate automated micro-mobility programs specifically for cycling equipment.</t>
  </si>
  <si>
    <t>Real-time Mobility Data Analytics</t>
  </si>
  <si>
    <t>Extract behavioral insights from movement data to guide subsequent architectural iterations.</t>
  </si>
  <si>
    <t>Emergency Evacuation Mobility Plans</t>
  </si>
  <si>
    <t>Enhance emergency egress protocols through simulated response strategies and real-time guidance.</t>
  </si>
  <si>
    <t>Autonomous Shuttle Services</t>
  </si>
  <si>
    <t>Deploy self-governing short-range transport pods for localized site connectivity.</t>
  </si>
  <si>
    <t>Smart Parking Solutions</t>
  </si>
  <si>
    <t>Deploy intelligent sensing for the dynamic allocation and booking of vehicle stalls.</t>
  </si>
  <si>
    <t>Electric Vehicle (EV) Fleet Management</t>
  </si>
  <si>
    <t>Oversee communal EV assets through automated logistical oversight tailored to resident needs.</t>
  </si>
  <si>
    <t>Route Optimization for Deliveries</t>
  </si>
  <si>
    <t>Streamline inbound and outbound logistics to suppress congestion during freight distribution.</t>
  </si>
  <si>
    <t>Multi-Modal Transport Options</t>
  </si>
  <si>
    <t>Smooth the interchange between varying transport categories via automated synchronization.</t>
  </si>
  <si>
    <t>Audit the carbon consequences of traveler behavior using data-driven mitigation tools.</t>
  </si>
  <si>
    <t>Dynamic Ride-Sharing Coordination</t>
  </si>
  <si>
    <t>Balance carpooling supply and demand through real-time occupancy-matching algorithms.</t>
  </si>
  <si>
    <t>Mobility Feedback Mechanisms</t>
  </si>
  <si>
    <t>Harvest user experience metrics through automated sentiment analysis to drive service evolution.</t>
  </si>
  <si>
    <t>Mobility-as-a-Service (MaaS) Integration</t>
  </si>
  <si>
    <t>Consolidate heterogeneous mobility offerings into a unified digital interface via predictive software.</t>
  </si>
  <si>
    <t>Sustainable Mobility Initiatives</t>
  </si>
  <si>
    <t>Quantify and encourage eco-friendly commuting habits through persistent digital monitoring.</t>
  </si>
  <si>
    <t>Mobility Accessibility Enhancements</t>
  </si>
  <si>
    <t>Standardize inclusivity across all transit amenities using adaptive intelligent design.</t>
  </si>
  <si>
    <t>Digital Wayfinding Solutions</t>
  </si>
  <si>
    <t>Provide sophisticated wayfinding assistance to help guests traverse complex internal routes.</t>
  </si>
  <si>
    <t>Health and Wellness Mobility Programs</t>
  </si>
  <si>
    <t>Tailor individualized health incentives to boost participation in human-powered transit.</t>
  </si>
  <si>
    <t>Material-AG</t>
  </si>
  <si>
    <t>Demolition Waste Management Planning</t>
  </si>
  <si>
    <t>Implement robust salvage protocols to divert site-generated debris from disposal streams toward circular economy cycles.</t>
  </si>
  <si>
    <t>Durability Management</t>
  </si>
  <si>
    <t>Prioritize high-durability architectural components to extend facility lifespans and curtail the depletion of raw physical assets.</t>
  </si>
  <si>
    <t>Material Recovery</t>
  </si>
  <si>
    <t>Incentivize the revitalization of legacy frameworks and the integration of certified timber to lower carbon intensity.</t>
  </si>
  <si>
    <t>Ongoing Purchasing and Waste Policy</t>
  </si>
  <si>
    <t>Mitigate volatile organic compound (VOC) concentrations to safeguard atmospheric purity during routine facility management.</t>
  </si>
  <si>
    <t>Storage and Collection of Recyclables</t>
  </si>
  <si>
    <t>Establish comprehensive diversion strategies for tenant-generated discarded matter, emphasizing upstream procurement ethics.</t>
  </si>
  <si>
    <t>Hazardous Waste Management</t>
  </si>
  <si>
    <t>Standardize sanitation workflows for the containment of bio-hazardous substances to neutralize environmental and physiological threats.</t>
  </si>
  <si>
    <t xml:space="preserve">Circular Material Salvage </t>
  </si>
  <si>
    <t>Maximize the technical performance of building assemblies by integrating salvaged elements and ecologically verified inputs.</t>
  </si>
  <si>
    <t>Environmentally Preferable Products</t>
  </si>
  <si>
    <t>Execute rigorous material vetting processes to ensure structural resilience and minimize the frequency of component replacement.</t>
  </si>
  <si>
    <t>Low Emitting Products</t>
  </si>
  <si>
    <t>Restrict hazardous particulate infiltration throughout a building's lifecycle to optimize indoor environmental quality for occupants.</t>
  </si>
  <si>
    <t>Building Product Disclosure and Optimization</t>
  </si>
  <si>
    <t>Validate the provenance of architectural goods through transparent life-cycle disclosure and rigorous ethical sourcing standards.</t>
  </si>
  <si>
    <t>Long-Term Commitment</t>
  </si>
  <si>
    <t>Diminish the carbon footprint associated with the logistics and fabrication of interior finishes during tenant transitions.</t>
  </si>
  <si>
    <t xml:space="preserve">Smart Disposal Optimization </t>
  </si>
  <si>
    <t>Systematize the recovery of structural fragments to bypass incineration and landfilling through secondary market integration.</t>
  </si>
  <si>
    <t>Solid Waste Management</t>
  </si>
  <si>
    <t>Deploy resource-recovery initiatives that target both operational byproducts and site-wide refurbishment residues.</t>
  </si>
  <si>
    <t>Purchasing- Facility Management and Renovation</t>
  </si>
  <si>
    <t>Ameliorate the ecological impact of upkeep activities by favoring modularity and high-efficiency material upgrades.</t>
  </si>
  <si>
    <t>Hazard Communication</t>
  </si>
  <si>
    <t>Codify the disclosure of toxic inventory to bolster disaster responsiveness and empower community-wide safety literacy.</t>
  </si>
  <si>
    <t>Landscaping and Outdoor Structures</t>
  </si>
  <si>
    <t>Govern the rehabilitation of brownfields and the safe extraction of legacy contaminants during structural dismantling.</t>
  </si>
  <si>
    <t>Special Waste Streams Management</t>
  </si>
  <si>
    <t>Integrate holistic disposal frameworks that address multifaceted toxic streams to prevent localized soil and water degradation.</t>
  </si>
  <si>
    <t>Sustainable Material Sourcing</t>
  </si>
  <si>
    <t>Leverage automated algorithms to vet and rank building materials based on their verified ecological credentials.</t>
  </si>
  <si>
    <t>Low-Emission Material Selection</t>
  </si>
  <si>
    <t>Direct the selection of low-carbon alternatives via predictive analytics to suppress cumulative greenhouse gas output.</t>
  </si>
  <si>
    <t>Innovative Material Technologies</t>
  </si>
  <si>
    <t>Adopt "smart" autonomous substances—such as self-mending polymers—to boost long-term building functionality.</t>
  </si>
  <si>
    <t>Material Durability Analytics</t>
  </si>
  <si>
    <t>Forecast the fatigue and degradation patterns of building envelopes to ensure sustained high-level utility.</t>
  </si>
  <si>
    <t>Material Performance Monitoring</t>
  </si>
  <si>
    <t>Execute real-time sensory tracking of material health to maintain the building’s operational integrity.</t>
  </si>
  <si>
    <t>Life Cycle Assessment Integration</t>
  </si>
  <si>
    <t>Utilize computational modeling to execute cradle-to-grave impact assessments for every specified structural element.</t>
  </si>
  <si>
    <t>Smart Waste Management Systems</t>
  </si>
  <si>
    <t>Apply intelligent sorting technologies to streamline the reclamation of surplus onsite construction resources.</t>
  </si>
  <si>
    <t>Reuse and Repurpose Strategies</t>
  </si>
  <si>
    <t>Scan existing inventories for upcycling potential using digital twins to reduce the need for virgin resource extraction.</t>
  </si>
  <si>
    <t>Energy-Positive Material Selection</t>
  </si>
  <si>
    <t>Identify thermal-mass and insulating substances that synergize with active systems to boost net-positive energy output.</t>
  </si>
  <si>
    <t>Smart Inventory Management</t>
  </si>
  <si>
    <t>Automate the logistics of the supply chain to prevent over-ordering and ensure lean resource application.</t>
  </si>
  <si>
    <t>Water-Resistant Material Selection</t>
  </si>
  <si>
    <t>Synthesize meteorological data to specify moisture-resistant barriers that prevent structural decay and fungal growth.</t>
  </si>
  <si>
    <t>Recycled Content Utilization</t>
  </si>
  <si>
    <t>Employ machine learning to optimize the specification of products featuring substantial post-consumer transformed content.</t>
  </si>
  <si>
    <t>Modular Material Systems</t>
  </si>
  <si>
    <t>Facilitate spatial adaptability and rapid assembly through the systematic deployment of prefabricated, interlocking units.</t>
  </si>
  <si>
    <t>Indoor Air Quality Material Standards</t>
  </si>
  <si>
    <t>Select interior finishes that actively filter or neutralize airborne irritants to cultivate a superior breathing environment.</t>
  </si>
  <si>
    <t>Smart Material Tracking</t>
  </si>
  <si>
    <t>Document the metabolic flow of building assets over decades to provide a transparent ledger of material performance.</t>
  </si>
  <si>
    <t>Local Material Sourcing</t>
  </si>
  <si>
    <t>Minimize transit-related emissions by algorithmically sourcing supplies from the immediate geographic vicinity.</t>
  </si>
  <si>
    <t>Community Impact Assessments</t>
  </si>
  <si>
    <t>Analyze the regional prosperity and ethical labor impacts of procurement through data-driven socio-economic modeling.</t>
  </si>
  <si>
    <t>Biodegradable Material Options</t>
  </si>
  <si>
    <t>Promote the inclusion of organic, compostable substrates that return to the biosphere at the end of their service life.</t>
  </si>
  <si>
    <t>Sustainable Materials</t>
  </si>
  <si>
    <t>Define rigorous benchmarks for the adoption of low-impact, non-toxic alternatives in all new development phases.</t>
  </si>
  <si>
    <t>Visual Quality-AG</t>
  </si>
  <si>
    <t>Lighting Master Plan</t>
  </si>
  <si>
    <t>Establish a comprehensive pre-development lighting masterplan to regulate luminosity constraints and address legacy fixtures across the district.</t>
  </si>
  <si>
    <t>Quality Views</t>
  </si>
  <si>
    <t>Foster physiological health and cognitive performance by integrating high-fidelity illumination and biological clock synchronization via external vistas.</t>
  </si>
  <si>
    <t>Lighting Control Schedule</t>
  </si>
  <si>
    <t>Implement dynamic dimming protocols and quantitative brightness thresholds for various zones to mitigate nocturnal glow during low-activity periods.</t>
  </si>
  <si>
    <t>Obtrusive Light Control</t>
  </si>
  <si>
    <t>Neutralize atmospheric light spill and glare through precision hardware shielding to safeguard local ecosystems and undisturbed sleep cycles.</t>
  </si>
  <si>
    <t>Visibility Facilitation</t>
  </si>
  <si>
    <t>Optimize outdoor legibility and transit safety by deploying uniform photometric distributions that encourage evening social interaction and safe movement.</t>
  </si>
  <si>
    <t>Adaptive Lighting Systems</t>
  </si>
  <si>
    <t>Deploy machine-learning systems that modulate artificial luminance in real-time to maintain constant, glare-free optical conditions for users.</t>
  </si>
  <si>
    <t>Smart Window Treatments</t>
  </si>
  <si>
    <t>Automate shading devices via predictive modeling to regulate solar heat gain and maintain a balanced field of view.</t>
  </si>
  <si>
    <t>Responsive Facade Design</t>
  </si>
  <si>
    <t>Construct "smart" building envelopes that adapt their morphology to fluctuating atmospheric data and seasonal solar paths.</t>
  </si>
  <si>
    <t>Interior Layout Optimization</t>
  </si>
  <si>
    <t>Employ topological optimization to streamline pedestrian traffic and create an intuitive, unobstructed visual flow within the facility.</t>
  </si>
  <si>
    <t>Seasonal Visual Adaptations</t>
  </si>
  <si>
    <t>Install responsive environmental displays that evolve alongside the phenology of the local climate and surrounding flora.</t>
  </si>
  <si>
    <t>Natural Light Optimization</t>
  </si>
  <si>
    <t>Leverage computational algorithms to iterate building massing for the deepest possible infiltration of solar radiance into the floorplate.</t>
  </si>
  <si>
    <t>Biophilic Design Elements</t>
  </si>
  <si>
    <t>Incorporate biophilic features and organic geometries to elevate the aesthetic environment and reduce psychological stress.</t>
  </si>
  <si>
    <t>Visual Accessibility Standards</t>
  </si>
  <si>
    <t>Standardize high-contrast signage and non-obstructive pathways to accommodate the diverse ocular requirements of inclusive design.</t>
  </si>
  <si>
    <t>Color Psychology Integration</t>
  </si>
  <si>
    <t>Determine chromatic palettes through data-driven psychology to stimulate specific affective states and work-related focus.</t>
  </si>
  <si>
    <t>Visual Connectivity Enhancements</t>
  </si>
  <si>
    <t>Utilize generative design to configure spatial partitions that maintain clear sightlines and transparency between disparate functional areas.</t>
  </si>
  <si>
    <t>View Optimization</t>
  </si>
  <si>
    <t>Execute algorithmic aperture placement to harvest scenic panoramas while suppressive high-angle glare through geometry.</t>
  </si>
  <si>
    <t>Outdoor Space Integration</t>
  </si>
  <si>
    <t>Apply spatial analytics to ensure exterior landscapes are visually continuous with internal galleries, dissolving the boundary between nature and structure.</t>
  </si>
  <si>
    <t>Textural Variation in Materials</t>
  </si>
  <si>
    <t>Process material libraries through neural networks to curate tactile and visual depth, preventing sensory monotony in large-scale surfaces.</t>
  </si>
  <si>
    <t>Visual Identity Branding</t>
  </si>
  <si>
    <t>Synthesize community archetypes and architectural intent into a unified aesthetic language that resonates with the local cultural fabric.</t>
  </si>
  <si>
    <t>Light Reflection and Absorption Analysis</t>
  </si>
  <si>
    <t>Engineer internal finishes with specific albedo ratings to manage photon scattering and ensure soft, indirect light distribution.</t>
  </si>
  <si>
    <t>Acoustic Quality-AG</t>
  </si>
  <si>
    <t>Sound Planning</t>
  </si>
  <si>
    <t>Deploy predictive sound-field mapping during the conceptual phase to embed defensive sonic barriers into the architectural blueprint.</t>
  </si>
  <si>
    <t>Acoustic Performance</t>
  </si>
  <si>
    <t>Cultivate public awareness regarding auditory health while engineering internal environments that facilitate high-fidelity vocal exchange and cognitive focus.</t>
  </si>
  <si>
    <t>Community Sound Mapping</t>
  </si>
  <si>
    <t>Standardize the inclusion of external soundscape variables within the preliminary site assessment to shield inhabitants from high-decibel surroundings.</t>
  </si>
  <si>
    <t>Planning for Acoustics</t>
  </si>
  <si>
    <t>Execute municipal-level spatial governance and zoning mandates to minimize the infiltration of industrial and transit-related vibrations into residential sectors.</t>
  </si>
  <si>
    <t>Active Noise Control Systems</t>
  </si>
  <si>
    <t>Utilize automated phase-reversal technology to neutralize disruptive frequencies in high-sensitivity localized zones.</t>
  </si>
  <si>
    <t>Acoustic Performance Monitoring</t>
  </si>
  <si>
    <t>Establish an autonomous sensor network to track real-time fluctuations in auditory metrics across diverse interior sectors.</t>
  </si>
  <si>
    <t>Soundscape Design</t>
  </si>
  <si>
    <t>Employ machine learning to harmonize disparate audio elements, ensuring a cohesive and comfortable atmosphere throughout the structure.</t>
  </si>
  <si>
    <t>Emergency Communication Acoustic Design</t>
  </si>
  <si>
    <t>Guarantee the integrity of critical safety announcements by optimizing signal-to-noise ratios during high-stress emergency events.</t>
  </si>
  <si>
    <t>Real-Time Acoustic Adjustment</t>
  </si>
  <si>
    <t>Enable the building to perceive current density and movement, automatically tuning the soundscape to the immediate needs of the crowd.</t>
  </si>
  <si>
    <t>Reverberation Control</t>
  </si>
  <si>
    <t>Regulate echo decay rates via automated analysis to ensure optimal sound absorption across varying room volumes.</t>
  </si>
  <si>
    <t>Background Noise Management</t>
  </si>
  <si>
    <t>Orchestrate intelligent moderation of ambient "hum" to maintain a consistent and non-intrusive floor of background sound.</t>
  </si>
  <si>
    <t>Multi-Functional Space Acoustics</t>
  </si>
  <si>
    <t>Engineer versatile environments capable of reconfiguring their sonic properties to suit shifting programmatic requirements.</t>
  </si>
  <si>
    <t>Acoustic Feedback Mechanisms</t>
  </si>
  <si>
    <t>Incorporate iterative user-experience data into the management system to refine and evolve the building’s auditory environment.</t>
  </si>
  <si>
    <t>Sound Insulation Optimization</t>
  </si>
  <si>
    <t>Leverage computational intelligence to synthesize and specify advanced composites that optimize sound-dampening coefficients across the building envelope.</t>
  </si>
  <si>
    <t>Zoning for Noise Reduction</t>
  </si>
  <si>
    <t>Apply algorithmic spatial logic to organize floor plans according to the specific sonic sensitivities of intended human activities.</t>
  </si>
  <si>
    <t>AI-Driven Acoustic Simulations</t>
  </si>
  <si>
    <t>Conduct virtual stress-tests on the acoustic integrity of a design prior to physical assembly to prevent post-construction rectification.</t>
  </si>
  <si>
    <t>Acoustic Material Selection</t>
  </si>
  <si>
    <t>Maximize the use of high-performance acoustic surfaces for structural interfaces through data-driven procurement protocols.</t>
  </si>
  <si>
    <t>Speech Intelligibility Enhancement</t>
  </si>
  <si>
    <t>Refine the geometry of collaborative hubs using digital simulations to guarantee peak linguistic transmission and comprehension.</t>
  </si>
  <si>
    <t>Quiet Zones Design</t>
  </si>
  <si>
    <t>Carve out isolated "acoustic sanctuaries" intended for restorative silence and deep individual concentration.</t>
  </si>
  <si>
    <t>Integration of Natural Sound Elements</t>
  </si>
  <si>
    <t>Integrate biophilic audio elements—such as synthesized or recorded nature sounds—to mask stressors and improve psychological well-being.</t>
  </si>
  <si>
    <t>Nourishment-AG</t>
  </si>
  <si>
    <t>Supermarkets Access</t>
  </si>
  <si>
    <t>Facilitate impartial entry to full-service food retailers to bolster the collective dietary well-being of the population.</t>
  </si>
  <si>
    <t>Healthy Nutrition</t>
  </si>
  <si>
    <t>Subvert deleterious marketing influences by implementing cognitive-based educational frameworks that empower inhabitants to select wholesome dietary options.</t>
  </si>
  <si>
    <t>Food Affordability</t>
  </si>
  <si>
    <t>Cultivate a resilient food ecosystem by securing diverse procurement channels for regional harvests and subsidizing nourishment for marginalized demographics.</t>
  </si>
  <si>
    <t>Food and Breastfeeding Support</t>
  </si>
  <si>
    <t>Diminish pathogens via transparent safety ratings and establish designated, equipped sanctuaries for lactation support and maternal education.</t>
  </si>
  <si>
    <t>Urban Agriculture</t>
  </si>
  <si>
    <t>Fortify local self-sufficiency by embedding agricultural infrastructure and cultivation resources directly within the built environment.</t>
  </si>
  <si>
    <t>Smart Urban Agriculture</t>
  </si>
  <si>
    <t>Automate metabolic requirements for indoor cultivation systems to achieve peak biomass production through precision resource allocation.</t>
  </si>
  <si>
    <t>Waste Reduction Strategies</t>
  </si>
  <si>
    <t>Apply stochastic modeling to anticipated ingestion rates to eliminate surplus and streamline the lifecycle of perishable inventory.</t>
  </si>
  <si>
    <t>Indoor Air Quality for Food Spaces</t>
  </si>
  <si>
    <t>Regulate atmospheric purity in culinary zones by modulating airflow in response to detected bio-effluents and heat-load fluctuations.</t>
  </si>
  <si>
    <t>Food Safety Monitoring</t>
  </si>
  <si>
    <t>Maintain biological security of stockpiles through continuous optical surveillance and cryogenic consistency monitoring.</t>
  </si>
  <si>
    <t>Healthy Snack Availability</t>
  </si>
  <si>
    <t>Maximize the availability of high-density nutrients through automated dispensing systems that adapt to shifting consumer preference data.</t>
  </si>
  <si>
    <t>AI-Driven Meal Planning Systems</t>
  </si>
  <si>
    <t>Synthesize individualized dietary regimens that harmonize clinical health metrics with current ecological harvest cycles.</t>
  </si>
  <si>
    <t>Seasonal Menu Adaptation</t>
  </si>
  <si>
    <t>Recalibrate culinary offerings through anticipatory weather and harvest data to ensure alignment with hyper-local environmental shifts.</t>
  </si>
  <si>
    <t>Automated Nutrition Monitoring</t>
  </si>
  <si>
    <t>Quantify actual physiological nourishment and post-consumption remnants through automated visual recognition of discarded materials.</t>
  </si>
  <si>
    <t>Nutritional Education Programs</t>
  </si>
  <si>
    <t>Deploy interactive linguistic agents to offer bespoke health guidance and elevate the standard of functional dietary literacy.</t>
  </si>
  <si>
    <t>Meal Customization Options</t>
  </si>
  <si>
    <t>Empower diners with customizable digital portals that curate meal selections based on idiosyncratic biological requirements.</t>
  </si>
  <si>
    <t>Smart Kitchen Technologies</t>
  </si>
  <si>
    <t>Preserve micronutrient bioavailability by employing smart thermal processors that calibrate preparation parameters to specific food chemistry.</t>
  </si>
  <si>
    <t>Integration of Functional Foods</t>
  </si>
  <si>
    <t>Address prevalent physiological deficits within the community by strategically infusing menus with specific, high-potency functional ingredients.</t>
  </si>
  <si>
    <t>Sustainable Food Sourcing</t>
  </si>
  <si>
    <t>Incentivize low-carbon logistics by utilizing computational mapping to favor regional purveyors within the procurement hierarchy.</t>
  </si>
  <si>
    <t>Nutritional Labeling Transparency</t>
  </si>
  <si>
    <t>Ensure radical transparency by generating digital signatures that verify the chronological lineage and origin of every ingredient.</t>
  </si>
  <si>
    <t>Feedback Systems for Dining Services</t>
  </si>
  <si>
    <t>Refine hospitality standards by extracting qualitative insights from occupant feedback through automated natural language processing.</t>
  </si>
  <si>
    <t>Community Gardening Initiatives</t>
  </si>
  <si>
    <t>Orchestrate communal stewardship and provide real-time botanical guidance via synchronized digital coordination hubs.</t>
  </si>
  <si>
    <t>Cultural Food Inclusivity</t>
  </si>
  <si>
    <t>Respect the cultural fabric of the residency by tailoring gastronomic suggestions to the heritage and traditional preferences of the inhabitants.</t>
  </si>
  <si>
    <t>Fitness-AG</t>
  </si>
  <si>
    <t>Pedestrian-Centric Integrated Zoning</t>
  </si>
  <si>
    <t>Catalyze urban vitality by implementing multifaceted land-use strategies and a robust network of footpaths intended to normalize kinetic habits.</t>
  </si>
  <si>
    <t>Physical Activity Spaces</t>
  </si>
  <si>
    <t>Deploy intuitive navigational cues alongside equitable recreational curricula tailored to a broad spectrum of demographic backgrounds.</t>
  </si>
  <si>
    <t>Walkability Mixed-Use Development</t>
  </si>
  <si>
    <t>Cultivate neighborhood cohesion by incentivizing varied-purpose architecture and a permeable web of thoroughfares that prioritize human-powered transit.</t>
  </si>
  <si>
    <t>Movement Network Planning</t>
  </si>
  <si>
    <t>Optimize regional mobility grids via analytical modeling to champion multi-modal commute strategies and fortified transit infrastructure.</t>
  </si>
  <si>
    <t>Enhanced Cyclist Environments</t>
  </si>
  <si>
    <t>Strengthen non-motorized transit corridors through validated protective engineering, specialized storage, and communal micro-mobility initiatives.</t>
  </si>
  <si>
    <t>Pet Support</t>
  </si>
  <si>
    <t>Facilitate animal companionship by engineering shared zones that incentivize simultaneous locomotion for residents and their pets.</t>
  </si>
  <si>
    <t>Smart Fitness Equipment</t>
  </si>
  <si>
    <t>Integrate machine-learning hardware capable of modulating resistance and intensity based on real-time biometric performance.</t>
  </si>
  <si>
    <t>Personalized Workout Plans</t>
  </si>
  <si>
    <t>Synthesize bespoke exercise regimens via computational algorithms aligned with the specific health objectives of building users.</t>
  </si>
  <si>
    <t>Real-Time Fitness Tracking</t>
  </si>
  <si>
    <t>Deploy automated monitoring frameworks that log exertive metrics and deliver instantaneous performance analytics to the user.</t>
  </si>
  <si>
    <t>Wearable Fitness Technology Integration</t>
  </si>
  <si>
    <t>Enable seamless data synchronization between building management systems and personal biometric monitors for holistic data capture.</t>
  </si>
  <si>
    <t>Feedback Mechanisms for Fitness Programs</t>
  </si>
  <si>
    <t>Harness automated polling and sentiment analysis to iteratively refine and evolve wellness programming based on user input.</t>
  </si>
  <si>
    <t>Seasonal Fitness Activities</t>
  </si>
  <si>
    <t>Generate climate-responsive exercise schedules that fluctuate based on real-time meteorological data and seasonal shifts.</t>
  </si>
  <si>
    <t>Smart Space Design for Movement</t>
  </si>
  <si>
    <t>Utilize generative modeling to architect landscapes and open-air corridors that subconsciously promote continuous locomotion.</t>
  </si>
  <si>
    <t>Multi-Functional Fitness Areas</t>
  </si>
  <si>
    <t>Leverage algorithmic layouts to produce versatile athletic zones capable of transitioning between diverse workout modalities.</t>
  </si>
  <si>
    <t>Nutritional Support for Fitness</t>
  </si>
  <si>
    <t>Curate dietetic guidance using artificial intelligence to bolster the physiological demands of various training cycles.</t>
  </si>
  <si>
    <t>Ergonomic Design for Fitness Areas</t>
  </si>
  <si>
    <t>Employ structural intelligence to optimize biomechanical safety and mitigate strain within specialized workout environments.</t>
  </si>
  <si>
    <t>Virtual Fitness Classes</t>
  </si>
  <si>
    <t>Deliver bespoke, digitally-mediated aerobic sessions curated by predictive interest models for individual participants.</t>
  </si>
  <si>
    <t>Personal Trainer AI Assistant</t>
  </si>
  <si>
    <t>Designate digital interfaces to serve as automated mentors, providing technical cues and consistent psychological reinforcement.</t>
  </si>
  <si>
    <t>Wellness Integration Programs</t>
  </si>
  <si>
    <t>Orchestrate initiatives that fuse physiological conditioning with psychological resilience strategies via intelligent software.</t>
  </si>
  <si>
    <t>Outdoor Fitness Opportunities</t>
  </si>
  <si>
    <t>Apply intelligent coordination to bridge the gap between exterior environments and vigorous outdoor recreation for occupants.</t>
  </si>
  <si>
    <t>Integration of Mindfulness and Fitness</t>
  </si>
  <si>
    <t>Merge contemplative techniques with physical exertion through smart-systems to achieve a unified state of health.</t>
  </si>
  <si>
    <t>Community Fitness Challenges</t>
  </si>
  <si>
    <t>Catalyze social interaction through computationally-managed competitive fitness events designed to build community bonds.</t>
  </si>
  <si>
    <t>Group Fitness Incentives</t>
  </si>
  <si>
    <t>Stimulate collective athletic involvement using algorithmically-derived reward mechanisms and motivational logic.</t>
  </si>
  <si>
    <t>Fitness Accessibility Standards</t>
  </si>
  <si>
    <t>Implement digital design protocols to guarantee that athletic facilities accommodate universal design and inclusivity standards.</t>
  </si>
  <si>
    <t>Family-Friendly Fitness Options</t>
  </si>
  <si>
    <t>Configure multi-generational athletic environments using computational planning to serve the specific needs of youth and parents.</t>
  </si>
  <si>
    <t>Mind-AG</t>
  </si>
  <si>
    <t>Access to Mental Health Services</t>
  </si>
  <si>
    <t>Broaden the reach and ease of entry for local psychological assistance networks.</t>
  </si>
  <si>
    <t>Access to Health Services</t>
  </si>
  <si>
    <t>Implement structural design strategies and outreach programs targeting addiction recovery, crisis management, and safety for survivors of domestic conflict.</t>
  </si>
  <si>
    <t>Responsible Driving</t>
  </si>
  <si>
    <t>Mitigate societal hazards linked to substance misuse by instituting transport safety initiatives and moderation advocacy.</t>
  </si>
  <si>
    <t>Integration of Streetscape Greenery</t>
  </si>
  <si>
    <t>Utilize biophilic architecture and aquatic features to facilitate psychological healing, complemented by external recreation zones designed for childhood development.</t>
  </si>
  <si>
    <t>Preservation of Scenic Views</t>
  </si>
  <si>
    <t>Safeguard sightlines to natural landscapes and water bodies to sustain the psychological benefits of environmental observation.</t>
  </si>
  <si>
    <t>Emotional Well-Being Tracking</t>
  </si>
  <si>
    <t>Apply analytical algorithms to track affective states and generate actionable reports on occupant morale.</t>
  </si>
  <si>
    <t>Personalized Well-Being Plans</t>
  </si>
  <si>
    <t>Personalize psychological wellness roadmaps through algorithmic assessment of unique user profiles.</t>
  </si>
  <si>
    <t>AI Counseling and Chat Support</t>
  </si>
  <si>
    <t>Enable immediate therapeutic interaction through conversational agents and virtual psychological consultation.</t>
  </si>
  <si>
    <t>Integration of Aromatherapy</t>
  </si>
  <si>
    <t>Regulate olfactory environments in public sectors using sensor-based delivery of essential oils to enhance concentration.</t>
  </si>
  <si>
    <t>Feedback Systems for Mental Well-Being</t>
  </si>
  <si>
    <t>Automate the harvesting of user sentiment to iteratively refine and optimize psychological support frameworks.</t>
  </si>
  <si>
    <t>Mental Health Resources</t>
  </si>
  <si>
    <t>Establish a portal for machine-learning-selected psychiatric literature and professional aid pathways.</t>
  </si>
  <si>
    <t>Holistic Wellness Events</t>
  </si>
  <si>
    <t>Coordinate multi-dimensional health summits utilizing synthetic coordination to harmonize holistic vitality.</t>
  </si>
  <si>
    <t>Community Support Groups</t>
  </si>
  <si>
    <t>Orchestrate communal affinity circles via digital networking to foster collective resilience and empathy.</t>
  </si>
  <si>
    <t>AI-Enhanced Learning Opportunities</t>
  </si>
  <si>
    <t>Supply a continuous stream of intellectually demanding content and educational tools via adaptive learning technologies.</t>
  </si>
  <si>
    <t>Digital Detox Programs</t>
  </si>
  <si>
    <t>Promote periodic disconnection from electronic interfaces using smart scheduling to restore attentional capacity.</t>
  </si>
  <si>
    <t>AI Meditation Programs</t>
  </si>
  <si>
    <t>Deploy digital platforms to lead occupants through structured introspection and focused breathing exercises.</t>
  </si>
  <si>
    <t>Cognitive Fitness Programs</t>
  </si>
  <si>
    <t>Stimulate neuroplasticity and mental sharpness by providing algorithm-guided brain fitness challenges.</t>
  </si>
  <si>
    <t>Mindfulness Challenges</t>
  </si>
  <si>
    <t>Incentivize present-moment awareness through gamified mindfulness quests managed by an intelligent interface.</t>
  </si>
  <si>
    <t>Mindfulness Spaces</t>
  </si>
  <si>
    <t>Automated spatial management for the allocation of low-stimulus zones dedicated to contemplative stillness.</t>
  </si>
  <si>
    <t>Stress Reduction Workshops</t>
  </si>
  <si>
    <t>Utilize intelligent systems to deliver educational modules regarding physiological and psychological tension mitigation.</t>
  </si>
  <si>
    <t>Creative Expression Zones</t>
  </si>
  <si>
    <t>Computational optimization of studios intended for expressive arts and cognitive stimulation.</t>
  </si>
  <si>
    <t>Restorative Break Areas</t>
  </si>
  <si>
    <t>Leverage intelligent architecture to configure transit zones or booths specifically for rapid neural decompression.</t>
  </si>
  <si>
    <t>Community-AG</t>
  </si>
  <si>
    <t>Demographic Assessment</t>
  </si>
  <si>
    <t>Quantify and augment regional economic resilience by auditing baseline welfare data and correcting environmental injustices within vulnerable populations.</t>
  </si>
  <si>
    <t>Community Visioning</t>
  </si>
  <si>
    <t>Formalize multi-sectoral alliances to define urban growth trajectories and mandate rigorous clinical scrutiny of how architectural interventions influence population-level health.</t>
  </si>
  <si>
    <t>Quality of Life Performance</t>
  </si>
  <si>
    <t>Implement longitudinal tracking of sociographic vital signs to neutralize disproportionate environmental stressors in disadvantaged districts.</t>
  </si>
  <si>
    <t>Civic and Community Engagement</t>
  </si>
  <si>
    <t>Empower inhabitants via structured governance roles, utilizing demographic analytics to customize municipal services to specific neighborhood requirements.</t>
  </si>
  <si>
    <t>Civil and Human Rights</t>
  </si>
  <si>
    <t>Safeguard fundamental liberties by institutionalizing impartial access to jurisdictional benefits and ensuring non-discriminatory participation in urban life.</t>
  </si>
  <si>
    <t>Social and Public Spaces</t>
  </si>
  <si>
    <t>Democratize the distribution of essential infrastructure, including clinical care, shelter, and pedagogy, to eliminate barriers based on wealth or status.</t>
  </si>
  <si>
    <t>Health Impact Assessment</t>
  </si>
  <si>
    <t>[Merged/Redefined] Execute joint-venture master planning that prioritizes bio-integrated development and preventative health modeling as core project milestones.</t>
  </si>
  <si>
    <t>Housing and Transportation Affordability</t>
  </si>
  <si>
    <t>Preserve the integrity of communal landscapes while subsidizing low-carbon transit and inclusive housing models to bridge spatial divides.</t>
  </si>
  <si>
    <t>Post-Occupancy Surveys</t>
  </si>
  <si>
    <t>Establish a bidirectional communication conduit for users to critique facility performance, directly informing the evolution of rigorous community certification protocols.</t>
  </si>
  <si>
    <t>Preservation and Rehabilitation</t>
  </si>
  <si>
    <t>Cultivate interpersonal bonds and civic solidarity through the provision of versatile public forums and the reinforcement of localized heritage.</t>
  </si>
  <si>
    <t>Community Health and Wellness</t>
  </si>
  <si>
    <t>Bolster public medical intelligence and systemic immunity to enable rapid communal stabilization following epidemiological or environmental crises.</t>
  </si>
  <si>
    <t>Art and Community</t>
  </si>
  <si>
    <t>Optimize neighborhood security through environmental design deterrents (CPTED) while catalyzing social vibrancy via the integration of public aesthetic expressions.</t>
  </si>
  <si>
    <t>Local Business Partnerships</t>
  </si>
  <si>
    <t>Utilize intelligent algorithms to optimize hyper-local supply chains and prioritize regional vendors in procurement workflows.</t>
  </si>
  <si>
    <t>Community Feedback Mechanisms</t>
  </si>
  <si>
    <t>Deploy autonomous sentiment analysis tools to periodically harvest and synthesize user insights regarding the efficacy of neighborhood initiatives.</t>
  </si>
  <si>
    <t>Sustainability Initiatives</t>
  </si>
  <si>
    <t>Apply predictive modeling to identify and amplify grassroots ecological ventures that align with broader carbon-neutrality targets.</t>
  </si>
  <si>
    <t>Resource Sharing Platforms</t>
  </si>
  <si>
    <t>Manage a decentralized circular economy platform that enables the seamless exchange of physical assets and technical expertise among neighbors.</t>
  </si>
  <si>
    <t>Digital Community Boards</t>
  </si>
  <si>
    <t>Maintain a centralized, real-time information architecture for the dissemination of critical municipal updates and neighborhood bulletins.</t>
  </si>
  <si>
    <t>Educational Workshops</t>
  </si>
  <si>
    <t>Orchestrate automated learning modules tailored to the specific skill gaps or intellectual interests identified within the local cohort.</t>
  </si>
  <si>
    <t>Neighborhood Improvement Initiatives</t>
  </si>
  <si>
    <t>Incentivize bottom-up architectural enhancements and functional spatial optimizations through digitally managed micro-grant or recognition programs.</t>
  </si>
  <si>
    <t>AI-Driven Social Networking</t>
  </si>
  <si>
    <t>Engineer digital affinity networks that algorithmically match residents based on shared vocational interests or recreational pursuits.</t>
  </si>
  <si>
    <t>Mentorship Programs</t>
  </si>
  <si>
    <t>Automate the pairing of tenure-based mentors with incoming residents to accelerate social integration and professional networking.</t>
  </si>
  <si>
    <t>Community Engagement Programs</t>
  </si>
  <si>
    <t>Leverage automated systems to streamline the coordination of local assemblies and stimulate high-frequency volunteerism within the project boundary.</t>
  </si>
  <si>
    <t>Skill Development Programs</t>
  </si>
  <si>
    <t>Facilitate adaptive educational platforms that accelerate individual professional trajectories and personal competency maturation.</t>
  </si>
  <si>
    <t>Cultural Events and Celebrations</t>
  </si>
  <si>
    <t>Program computational scheduling to curate multicultural symposiums that reflect the diverse ethnic tapestry of the resident population.</t>
  </si>
  <si>
    <t>Intergenerational Activities</t>
  </si>
  <si>
    <t>Construct intergenerational bridge-building activities that facilitate the transfer of knowledge between elder populations and youth.</t>
  </si>
  <si>
    <t>Celebration of Local History</t>
  </si>
  <si>
    <t>Curate immersive digital archives and physical exhibitions that archive the evolutionary narrative and ancestral legacy of the site.</t>
  </si>
  <si>
    <t>Innovation-AG</t>
  </si>
  <si>
    <t>Innovation Preliminary Rating</t>
  </si>
  <si>
    <t>Advance fiscal strategies that align project-wide ecological objectives with long-term urban viability.</t>
  </si>
  <si>
    <t>Standardize resilient construction methodologies to mitigate environmental volatility through streamlined resource management.</t>
  </si>
  <si>
    <t>Promote Creative Solutions</t>
  </si>
  <si>
    <t>Incentivize localized social stewardship by embedding participatory ecological programs into the project lifecycle.</t>
  </si>
  <si>
    <t>Exceptional and innovative performance</t>
  </si>
  <si>
    <t>Catalyze superior certification outcomes by synchronizing cross-functional workflows and administrative precision.</t>
  </si>
  <si>
    <t>Support Health Process</t>
  </si>
  <si>
    <t>Validate commitment to human-centric performance by formalizing the oversight of a certified Wellness professional.</t>
  </si>
  <si>
    <t>Address Health in Innovative Ways</t>
  </si>
  <si>
    <t>Advocate for transformative health-centric planning by securing diverse third-party accolades and influencing regional policy.</t>
  </si>
  <si>
    <t>Smart Building Technologies</t>
  </si>
  <si>
    <t>Automate critical infrastructure via intelligent sensing to elevate the baseline efficiency of MEP (Mechanical, Electrical, and Plumbing) systems.</t>
  </si>
  <si>
    <t>Data-Driven Decision Making</t>
  </si>
  <si>
    <t>Transform raw environmental datasets into actionable intelligence for evidence-based asset management.</t>
  </si>
  <si>
    <t>Continuous Improvement Programs</t>
  </si>
  <si>
    <t>Establish a self-evolving operational framework that utilizes machine learning for iterative facility tuning.</t>
  </si>
  <si>
    <t>Real-Time Feedback Mechanisms</t>
  </si>
  <si>
    <t>Deploy dynamic telemetry networks to provide instantaneous validation of experimental high-performance features.</t>
  </si>
  <si>
    <t>User-Centric Technology Development</t>
  </si>
  <si>
    <t>Customize environmental parameters in real-time through adaptive interfaces that prioritize user physiological comfort.</t>
  </si>
  <si>
    <t>Cloud-Based Management Systems</t>
  </si>
  <si>
    <t>Centralize building governance via virtualized architecture to ensure scalable and secure data transparency.</t>
  </si>
  <si>
    <t>AI-Driven Design Processes</t>
  </si>
  <si>
    <t>Deploy generative algorithms to explore complex aesthetic geometries and optimize spatial utility during the schematic phase.</t>
  </si>
  <si>
    <t>Collaboration with Tech Startups</t>
  </si>
  <si>
    <t>Incubate venture-backed technological breakthroughs by facilitating pilot testing within the active built environment.</t>
  </si>
  <si>
    <t>Cross-Disciplinary Innovation Teams</t>
  </si>
  <si>
    <t>Augment collaborative intelligence by synthesizing transdisciplinary perspectives into a unified problem-solving matrix.</t>
  </si>
  <si>
    <t>Gamification of Occupant Engagement</t>
  </si>
  <si>
    <t>Utilize behavioral psychology and interactive rewards to drive deep-rooted culture shifts in energy conservation.</t>
  </si>
  <si>
    <t>Open Innovation Platforms</t>
  </si>
  <si>
    <t>Orchestrate digital crowdsourcing ecosystems to harvest unconventional sustainability solutions from a global network of experts.</t>
  </si>
  <si>
    <t>Safety-AG</t>
  </si>
  <si>
    <t>AI-Enhanced Surveillance Systems</t>
  </si>
  <si>
    <t>Deploy autonomous vision analytics to bolster continuous premises oversight.</t>
  </si>
  <si>
    <t>Emergency Response Automation</t>
  </si>
  <si>
    <t>Streamline crisis management workflows through algorithmic intervention and execution.</t>
  </si>
  <si>
    <t>Integrated Evacuation Plans</t>
  </si>
  <si>
    <t>Formulate dynamic egress strategies that recalibrate based on live spatial data.</t>
  </si>
  <si>
    <t>Robust Cybersecurity Measures</t>
  </si>
  <si>
    <t>Safeguard digital infrastructure using intelligent threat detection and defensive logic.</t>
  </si>
  <si>
    <t>Fire Safety Smart Systems</t>
  </si>
  <si>
    <t>Orchestrate unified thermal sensing and automated extinguishing via centralized intelligence.</t>
  </si>
  <si>
    <t>Environmental Hazard Detection</t>
  </si>
  <si>
    <t>Mitigate toxicity risks by installing intelligent atmospheric sensors for rapid leak identification.</t>
  </si>
  <si>
    <t>Safety Communication Systems</t>
  </si>
  <si>
    <t>Establish high-velocity notification frameworks to broadcast urgent warnings effectively.</t>
  </si>
  <si>
    <t>Predictive Maintenance for Safety Equipment</t>
  </si>
  <si>
    <t>Leverage prognostic modeling to anticipate and preempt failures in critical protection hardware.</t>
  </si>
  <si>
    <t>Access Control Management</t>
  </si>
  <si>
    <t>Modernize entry governance through biometric verification and automated credentialing.</t>
  </si>
  <si>
    <t>Health Monitoring Systems</t>
  </si>
  <si>
    <t>Track physiological wellness markers to trigger immediate medical assistance when necessary.</t>
  </si>
  <si>
    <t>Safety Audits and Assessments</t>
  </si>
  <si>
    <t>Perform automated diagnostic evaluations to verify adherence to protective regulations.</t>
  </si>
  <si>
    <t>Adaptable Safety Protocols</t>
  </si>
  <si>
    <t>Adapt operational safety guardrails in accordance with fluctuating density and traffic.</t>
  </si>
  <si>
    <t>Fire Safety Systems</t>
  </si>
  <si>
    <t>Validate the robustness of thermal defense mechanisms and readiness benchmarks.</t>
  </si>
  <si>
    <t>Safety Performance Monitoring</t>
  </si>
  <si>
    <t>Evaluate organizational risk trends through deep-learning examination of behavioral data.</t>
  </si>
  <si>
    <t>Smart Lighting for Safety</t>
  </si>
  <si>
    <t>Optimize illumination levels in shared zones using occupancy-aware luminosity control.</t>
  </si>
  <si>
    <t>Integration of First Aid Stations</t>
  </si>
  <si>
    <t>Maintain medical supply kiosks featuring intelligent inventory tracking and status reporting.</t>
  </si>
  <si>
    <t>Health and Safety</t>
  </si>
  <si>
    <t>Guarantee rigorous compliance with inhabitant protection mandates and hygiene criteria.</t>
  </si>
  <si>
    <t>Occupant Safety Training Programs</t>
  </si>
  <si>
    <t>Deliver tailored instructional modules synthesized by machine learning to improve risk literacy.</t>
  </si>
  <si>
    <t>Community Safety Initiatives</t>
  </si>
  <si>
    <t>Foster collective vigilance by facilitating peer-to-peer security networking via smart platforms.</t>
  </si>
  <si>
    <t>Real-Time Incident Reporting</t>
  </si>
  <si>
    <t>Provide an instantaneous digital interface for users to log and track hazardous conditions.</t>
  </si>
  <si>
    <t>Personal Safety Apps</t>
  </si>
  <si>
    <t>Equip residents with mobile utility tools designed for individualized protection and connectivity.</t>
  </si>
  <si>
    <t>Security-AG</t>
  </si>
  <si>
    <t>AI-Powered Surveillance Systems</t>
  </si>
  <si>
    <t>Utilize intelligent vision analytics to identify potential hazards and maintain live oversight of premises.</t>
  </si>
  <si>
    <t>Intrusion Detection Systems</t>
  </si>
  <si>
    <t>Integrate autonomous intrusion-sensing technology to notify responders of perimeter breaches.</t>
  </si>
  <si>
    <t>Cybersecurity Protocols</t>
  </si>
  <si>
    <t>Fortify facility operational networks against digital incursions via comprehensive defensive protocols.</t>
  </si>
  <si>
    <t>Integration of Emergency Services</t>
  </si>
  <si>
    <t>Facilitate instantaneous, automated conduits to first responders during critical incidents.</t>
  </si>
  <si>
    <t>Remote Security Monitoring</t>
  </si>
  <si>
    <t>Provide off-site operational visibility for safety operators through distributed artificial intelligence.</t>
  </si>
  <si>
    <t>Continuous Security Assessment</t>
  </si>
  <si>
    <t>Iteratively refine safety procedures by processing historical data through adaptive learning modules.</t>
  </si>
  <si>
    <t>Smart Access Control</t>
  </si>
  <si>
    <t>Regulate entry points through automated physiological recognition or encrypted credentialing platforms.</t>
  </si>
  <si>
    <t>Threat Assessment and Risk Analysis</t>
  </si>
  <si>
    <t>Execute periodic diagnostic sweeps powered by machine learning to pinpoint systemic vulnerabilities.</t>
  </si>
  <si>
    <t>Emergency Communication Protocols</t>
  </si>
  <si>
    <t>Develop advanced notification frameworks to broadcast urgent safety directives across the infrastructure.</t>
  </si>
  <si>
    <t>Integration of Drones for Surveillance</t>
  </si>
  <si>
    <t>Employ unmanned aerial vehicles for high-altitude observation and external boundary scouting.</t>
  </si>
  <si>
    <t>Security Systems</t>
  </si>
  <si>
    <t>Quantify the performance of protective strategies in ensuring the integrity of persons and property.</t>
  </si>
  <si>
    <t>Data Encryption and Privacy Measures</t>
  </si>
  <si>
    <t>Safeguard confidential information through algorithmic ciphering and rigorous privacy safeguards.</t>
  </si>
  <si>
    <t>Secure Parking Solutions</t>
  </si>
  <si>
    <t>Apply specialized automation to oversee and protect vehicular storage and transit zones.</t>
  </si>
  <si>
    <t>Visitor Management Systems</t>
  </si>
  <si>
    <t>Optimize guest registration and movement tracking through automated credential verification.</t>
  </si>
  <si>
    <t>Secure Communication Channels</t>
  </si>
  <si>
    <t>Standardize encrypted transmission lines for exclusive use by safety coordination teams.</t>
  </si>
  <si>
    <t>Physical Barrier Enhancements</t>
  </si>
  <si>
    <t>Combine structural obstacles with integrated algorithmic oversight for reinforced boundary protection.</t>
  </si>
  <si>
    <t>Furnish residents with digital interfaces for the immediate notification of safety-related events.</t>
  </si>
  <si>
    <t>Security Feedback Mechanisms</t>
  </si>
  <si>
    <t>Aggregate and interpret user-generated insights to gauge perceptions of safety and operational gaps.</t>
  </si>
  <si>
    <t>Smart Lighting for Security</t>
  </si>
  <si>
    <t>Deploy kinetic-triggered illumination to discourage trespassers in restricted zones.</t>
  </si>
  <si>
    <t>Services-AG</t>
  </si>
  <si>
    <t>Automated Feedback Systems</t>
  </si>
  <si>
    <t>Utilize machine learning to analyze user sentiments for the ongoing refinement of facility amenities.</t>
  </si>
  <si>
    <t>Digital Access to Building Information</t>
  </si>
  <si>
    <t>Establish a centralized virtual portal that serves as the primary gateway for site-related data and utility navigation.</t>
  </si>
  <si>
    <t>Smart Waste Management Solutions</t>
  </si>
  <si>
    <t>Deploy smart sensor networks to enhance the efficacy of refuse disposal and material recovery cycles.</t>
  </si>
  <si>
    <t>Smart Maintenance Requests</t>
  </si>
  <si>
    <t>Digitize the reporting of facility repairs, employing automated triage to rank urgency and streamline technical response.</t>
  </si>
  <si>
    <t>On-Demand Cleaning Services</t>
  </si>
  <si>
    <t>Orchestrate hygiene protocols that fluctuate dynamically based on real-time footfall and area density.</t>
  </si>
  <si>
    <t>AI-Powered Concierge Services</t>
  </si>
  <si>
    <t>Deliver customized resident support through automated virtual assistance platforms.</t>
  </si>
  <si>
    <t>Maximize vehicular stall efficiency and real-time bay allocation using predictive algorithms.</t>
  </si>
  <si>
    <t>Flexible Workspace Solutions</t>
  </si>
  <si>
    <t>Permit fluid configuration of professional environments through responsive, user-driven environmental controls.</t>
  </si>
  <si>
    <t>Package Delivery Management</t>
  </si>
  <si>
    <t>Integrate intelligent logistics solutions for the streamlined oversight of incoming parcels.</t>
  </si>
  <si>
    <t>Health and Wellness Services</t>
  </si>
  <si>
    <t>Facilitate holistic health programs, encompassing psychological and physical wellbeing, via smart technology interfaces.</t>
  </si>
  <si>
    <t>Personalized Communication Channels</t>
  </si>
  <si>
    <t>Construct bespoke messaging channels dedicated to transmitting real-time operational alerts and building news.</t>
  </si>
  <si>
    <t>Integration of Local Services</t>
  </si>
  <si>
    <t>Forge digital bridges with regional vendors to simplify the acquisition of off-site provisions for building users.</t>
  </si>
  <si>
    <t>Multi-Language Support Services</t>
  </si>
  <si>
    <t>Ensure inclusive accessibility by providing multilingual support and polyglot user experiences across all smart touchpoints.</t>
  </si>
  <si>
    <t>Virtual Meeting Room Reservations</t>
  </si>
  <si>
    <t>Automate the reservation and scheduling of communal rooms to ensure peak utilization of collaborative areas.</t>
  </si>
  <si>
    <t>Community Resource Sharing Programs</t>
  </si>
  <si>
    <t>Create a peer-to-peer exchange ecosystem within the premises to promote the collaborative use of shared assets.</t>
  </si>
  <si>
    <t>Full Autonomous Buildings-AG</t>
  </si>
  <si>
    <t>Data Collection</t>
  </si>
  <si>
    <t>Integrated hardware arrays facilitate the continuous acquisition of environmental and occupancy metrics.</t>
  </si>
  <si>
    <t>Data Privacy</t>
  </si>
  <si>
    <t>Data governance protocols strictly uphold statutory mandates regarding individual confidentiality.</t>
  </si>
  <si>
    <t>Monitoring Feedback</t>
  </si>
  <si>
    <t>Iterative loops of self-refinement ensure the facility remains at its peak productive equilibrium.</t>
  </si>
  <si>
    <t>Data Analysis</t>
  </si>
  <si>
    <t>Computational engines transform raw telemetry into high-level operational intelligence.</t>
  </si>
  <si>
    <t>Decision Making</t>
  </si>
  <si>
    <t>Algorithmic frameworks derive executive commands by synthesized evaluation of processed datasets.</t>
  </si>
  <si>
    <t>Integration</t>
  </si>
  <si>
    <t>Inter-component synergy is maintained via standardized, independent communication architecture.</t>
  </si>
  <si>
    <t>Security</t>
  </si>
  <si>
    <t>End-to-end digital safeguards preserve network sanctity and informational assets against unauthorized breach.</t>
  </si>
  <si>
    <t>Predictive Maintenance</t>
  </si>
  <si>
    <t>Prognostic modeling utilizes longitudinal archives to preemptively address hardware degradation.</t>
  </si>
  <si>
    <t>Data Reception</t>
  </si>
  <si>
    <t>Information routing to oversight modules occurs through automated, high-fidelity pipelines.</t>
  </si>
  <si>
    <t>Action Execution</t>
  </si>
  <si>
    <t>Direct mechanical modulation of facility infrastructure is governed exclusively by machine-led protocols.</t>
  </si>
  <si>
    <t>Resource utilization is dynamically throttled to minimize the facility's ecological footprint.</t>
  </si>
  <si>
    <t>Compliance Monitoring</t>
  </si>
  <si>
    <t>Regulatory alignment is verified through systematic cross-referencing with regional building codes.</t>
  </si>
  <si>
    <t>Performance Benchmarking</t>
  </si>
  <si>
    <t>Quantitative comparison against sector-wide excellence metrics identifies opportunities for frontier innovation.</t>
  </si>
  <si>
    <t>Scalability</t>
  </si>
  <si>
    <t>Architectural scalability is embedded within the core logic to accommodate evolving structural requirements.</t>
  </si>
  <si>
    <t>Self-Maintenance</t>
  </si>
  <si>
    <t>Internal restorative capabilities allow for the resolution of technical flaws via autonomous remediation.</t>
  </si>
  <si>
    <t>User Interface</t>
  </si>
  <si>
    <t>Human-centric dashboards offer transparent visualization of the asset's current operational status.</t>
  </si>
  <si>
    <t>Anomaly Detection</t>
  </si>
  <si>
    <t>Pattern-recognition models detect behavioral deviations to mitigate operational inconsistencies.</t>
  </si>
  <si>
    <t>Environmental Adaptation</t>
  </si>
  <si>
    <t>Atmospheric settings modulate in response to fluctuating meteorological variables for peak inhabitant wellness.</t>
  </si>
  <si>
    <t>Self-Reporting</t>
  </si>
  <si>
    <t>Administrative documentation regarding utility yields is compiled without necessitating manual synthesis.</t>
  </si>
  <si>
    <t>User Feedback Loop</t>
  </si>
  <si>
    <t>Occupant qualitative input is ingested as a secondary data stream to refine environmental responsiveness.</t>
  </si>
  <si>
    <t>Innovation</t>
  </si>
  <si>
    <t>Site &amp; Environment</t>
  </si>
  <si>
    <t>Air</t>
  </si>
  <si>
    <t>Water</t>
  </si>
  <si>
    <t>Energy</t>
  </si>
  <si>
    <t>Mobility</t>
  </si>
  <si>
    <t>Material</t>
  </si>
  <si>
    <t>Visual Quality</t>
  </si>
  <si>
    <t>Community</t>
  </si>
  <si>
    <t>X</t>
  </si>
  <si>
    <t>XXX</t>
  </si>
  <si>
    <t>Earned Points (EP)</t>
  </si>
  <si>
    <t>Earned Points (EP) %</t>
  </si>
  <si>
    <t>Available Points (AP)</t>
  </si>
  <si>
    <t>Acoustic Quality</t>
  </si>
  <si>
    <t>Nourishment</t>
  </si>
  <si>
    <t>Fitness</t>
  </si>
  <si>
    <t>Mind</t>
  </si>
  <si>
    <t>Safety</t>
  </si>
  <si>
    <t>Services</t>
  </si>
  <si>
    <t>Full Autonomous Buildings</t>
  </si>
  <si>
    <t>IAM-SHIMB - Sustainable</t>
  </si>
  <si>
    <t>IAM-SHIMB - Healthy</t>
  </si>
  <si>
    <t>IAM-SHIMB - Intelligent</t>
  </si>
  <si>
    <t>AP</t>
  </si>
  <si>
    <t>EP</t>
  </si>
  <si>
    <t>EP %</t>
  </si>
  <si>
    <t>IAM
SHIMB</t>
  </si>
  <si>
    <r>
      <t xml:space="preserve">CASE 01
Lumi (Uppsala, Sweden)
</t>
    </r>
    <r>
      <rPr>
        <sz val="22"/>
        <rFont val="Aptos Narrow"/>
        <family val="2"/>
        <scheme val="minor"/>
      </rPr>
      <t xml:space="preserve">LEED Platinum (v4 BD+C Core and Shell)
99 / 110 (Highest score in Europe)
</t>
    </r>
  </si>
  <si>
    <r>
      <t xml:space="preserve">CASE 02
ICBC Tower
</t>
    </r>
    <r>
      <rPr>
        <sz val="22"/>
        <rFont val="Aptos Narrow"/>
        <family val="2"/>
        <scheme val="minor"/>
      </rPr>
      <t>LEED Platinum (O+M: Existing Buildings)
92 / 110</t>
    </r>
  </si>
  <si>
    <r>
      <t xml:space="preserve">CASE 09
The Edge
</t>
    </r>
    <r>
      <rPr>
        <sz val="22"/>
        <rFont val="Aptos Narrow"/>
        <family val="2"/>
        <scheme val="minor"/>
      </rPr>
      <t>BREEAM Outstanding
98.36% (Highest score ever at time of certification)</t>
    </r>
  </si>
  <si>
    <r>
      <t xml:space="preserve">CASE 10
Bullitt Center
</t>
    </r>
    <r>
      <rPr>
        <sz val="22"/>
        <rFont val="Aptos Narrow"/>
        <family val="2"/>
        <scheme val="minor"/>
      </rPr>
      <t>Living Building Challenge (Certified Living); LEED Platinum
100% (Living Building Criteria) / 80+ / 110 (LEED)</t>
    </r>
  </si>
  <si>
    <t>Certification Levels</t>
  </si>
  <si>
    <t>Platinum</t>
  </si>
  <si>
    <t>Glold</t>
  </si>
  <si>
    <t>Silver</t>
  </si>
  <si>
    <t>Bronze</t>
  </si>
  <si>
    <t>IAM-SHIMB - (S + H + I)</t>
  </si>
  <si>
    <t>IAM-SHIMB - Sustainable (S)</t>
  </si>
  <si>
    <t>IAM-SHIMB - Healthy (H)</t>
  </si>
  <si>
    <t>IAM-SHIMB - Intelligent (I)</t>
  </si>
  <si>
    <r>
      <t xml:space="preserve">CASE 11
Ras El-Hekma - SHI-Mega Building
</t>
    </r>
    <r>
      <rPr>
        <sz val="22"/>
        <rFont val="Aptos Narrow"/>
        <family val="2"/>
        <scheme val="minor"/>
      </rPr>
      <t>Proposed Sustainable and Healthy Mega Building Managed by Autonomous Cognitive Operating System (MACOS) 
Designed as a collaborative engineering and AI framework (Conceptualized under the IAM-SHIMB research protocols)</t>
    </r>
  </si>
  <si>
    <r>
      <t xml:space="preserve">CASE 08
447 Collins Street (Collins Arch)
</t>
    </r>
    <r>
      <rPr>
        <sz val="22"/>
        <rFont val="Aptos Narrow"/>
        <family val="2"/>
        <scheme val="minor"/>
      </rPr>
      <t xml:space="preserve">LEED Gold (Expected/Targeted); WELL Gold (Pre-certified)
</t>
    </r>
  </si>
  <si>
    <r>
      <t xml:space="preserve">CASE 07
Pasona Headquarters
</t>
    </r>
    <r>
      <rPr>
        <sz val="22"/>
        <rFont val="Aptos Narrow"/>
        <family val="2"/>
        <scheme val="minor"/>
      </rPr>
      <t xml:space="preserve">LEED Gold (New Construction); WELL Platinum (v2)
</t>
    </r>
  </si>
  <si>
    <r>
      <t xml:space="preserve">CASE 06
Vancouver Centre II (VCII)
</t>
    </r>
    <r>
      <rPr>
        <sz val="22"/>
        <rFont val="Aptos Narrow"/>
        <family val="2"/>
        <scheme val="minor"/>
      </rPr>
      <t xml:space="preserve">LEED Platinum, WELL Gold, WiredScore Platinum (high connectivity standards).
</t>
    </r>
  </si>
  <si>
    <r>
      <t xml:space="preserve">CASE 05
Salesforce Tower
</t>
    </r>
    <r>
      <rPr>
        <sz val="22"/>
        <rFont val="Aptos Narrow"/>
        <family val="2"/>
        <scheme val="minor"/>
      </rPr>
      <t xml:space="preserve">LEED Platinum (Core and Shell)
</t>
    </r>
  </si>
  <si>
    <r>
      <t xml:space="preserve">CASE 04
Taipei 101
</t>
    </r>
    <r>
      <rPr>
        <sz val="22"/>
        <rFont val="Aptos Narrow"/>
        <family val="2"/>
        <scheme val="minor"/>
      </rPr>
      <t xml:space="preserve">LEED Platinum (O+M: Existing Buildings)
</t>
    </r>
  </si>
  <si>
    <r>
      <t xml:space="preserve">CASE 03
BEEAH Headquarters
</t>
    </r>
    <r>
      <rPr>
        <sz val="22"/>
        <rFont val="Aptos Narrow"/>
        <family val="2"/>
        <scheme val="minor"/>
      </rPr>
      <t xml:space="preserve">LEED Platinum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</si>
</sst>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1"/>
      <color theme="1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70C0"/>
      <name val="Times New Roman"/>
      <family val="1"/>
    </font>
    <font>
      <sz val="24"/>
      <color rgb="FF0070C0"/>
      <name val="Times New Roman"/>
      <family val="1"/>
    </font>
    <font>
      <sz val="11"/>
      <color theme="5"/>
      <name val="Times New Roman"/>
      <family val="1"/>
    </font>
    <font>
      <sz val="24"/>
      <color theme="5"/>
      <name val="Times New Roman"/>
      <family val="1"/>
    </font>
    <font>
      <sz val="11"/>
      <color rgb="FF00B050"/>
      <name val="Times New Roman"/>
      <family val="1"/>
    </font>
    <font>
      <sz val="24"/>
      <color rgb="FF00B050"/>
      <name val="Times New Roman"/>
      <family val="1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b/>
      <sz val="26"/>
      <color rgb="FF7030A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18"/>
      <name val="Aptos Narrow"/>
      <family val="2"/>
      <scheme val="minor"/>
    </font>
    <font>
      <b/>
      <u/>
      <sz val="22"/>
      <name val="Aptos Narrow"/>
      <family val="2"/>
      <scheme val="minor"/>
    </font>
    <font>
      <sz val="2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name val="Times New Roman"/>
      <family val="1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A8F"/>
        <bgColor indexed="64"/>
      </patternFill>
    </fill>
    <fill>
      <patternFill patternType="solid">
        <fgColor rgb="FFFFB41D"/>
        <bgColor indexed="64"/>
      </patternFill>
    </fill>
    <fill>
      <patternFill patternType="solid">
        <fgColor rgb="FFB0DE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E9400"/>
        <bgColor indexed="64"/>
      </patternFill>
    </fill>
    <fill>
      <patternFill patternType="solid">
        <fgColor rgb="FFFFEAC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F2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9" fontId="15" fillId="0" borderId="0" applyFont="0" applyFill="0" applyBorder="0" applyAlignment="0" applyProtection="0"/>
  </cellStyleXfs>
  <cellXfs count="14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textRotation="90"/>
    </xf>
    <xf numFmtId="0" fontId="19" fillId="9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top" textRotation="90"/>
    </xf>
    <xf numFmtId="0" fontId="22" fillId="9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top" textRotation="90"/>
    </xf>
    <xf numFmtId="0" fontId="23" fillId="10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top" textRotation="90"/>
    </xf>
    <xf numFmtId="0" fontId="16" fillId="4" borderId="2" xfId="0" applyFont="1" applyFill="1" applyBorder="1" applyAlignment="1">
      <alignment horizontal="center" vertical="top" textRotation="90"/>
    </xf>
    <xf numFmtId="0" fontId="22" fillId="5" borderId="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top" textRotation="90"/>
    </xf>
    <xf numFmtId="0" fontId="26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top" wrapText="1"/>
    </xf>
    <xf numFmtId="0" fontId="27" fillId="5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top" textRotation="90"/>
    </xf>
    <xf numFmtId="0" fontId="25" fillId="6" borderId="2" xfId="0" applyFont="1" applyFill="1" applyBorder="1" applyAlignment="1">
      <alignment horizontal="center" vertical="top" textRotation="90"/>
    </xf>
    <xf numFmtId="0" fontId="27" fillId="15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3" fillId="0" borderId="0" xfId="0" applyFont="1"/>
    <xf numFmtId="0" fontId="36" fillId="3" borderId="2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0" fontId="37" fillId="15" borderId="2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1" fontId="37" fillId="8" borderId="2" xfId="0" applyNumberFormat="1" applyFont="1" applyFill="1" applyBorder="1" applyAlignment="1">
      <alignment horizontal="center" vertical="center"/>
    </xf>
    <xf numFmtId="1" fontId="37" fillId="5" borderId="2" xfId="0" applyNumberFormat="1" applyFont="1" applyFill="1" applyBorder="1" applyAlignment="1">
      <alignment horizontal="center" vertical="center"/>
    </xf>
    <xf numFmtId="1" fontId="37" fillId="15" borderId="2" xfId="0" applyNumberFormat="1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 vertical="center"/>
    </xf>
    <xf numFmtId="1" fontId="37" fillId="20" borderId="2" xfId="0" applyNumberFormat="1" applyFont="1" applyFill="1" applyBorder="1" applyAlignment="1">
      <alignment horizontal="center" vertical="center"/>
    </xf>
    <xf numFmtId="0" fontId="37" fillId="20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17" fillId="11" borderId="2" xfId="0" applyFont="1" applyFill="1" applyBorder="1"/>
    <xf numFmtId="0" fontId="24" fillId="12" borderId="4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0" fillId="0" borderId="5" xfId="0" applyBorder="1"/>
    <xf numFmtId="0" fontId="24" fillId="14" borderId="4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0" fillId="14" borderId="5" xfId="0" applyFill="1" applyBorder="1"/>
    <xf numFmtId="0" fontId="32" fillId="17" borderId="7" xfId="0" applyFont="1" applyFill="1" applyBorder="1" applyAlignment="1">
      <alignment horizontal="center" vertical="center" wrapText="1"/>
    </xf>
    <xf numFmtId="0" fontId="32" fillId="17" borderId="8" xfId="0" applyFont="1" applyFill="1" applyBorder="1" applyAlignment="1">
      <alignment horizontal="center" vertical="center"/>
    </xf>
    <xf numFmtId="0" fontId="32" fillId="17" borderId="9" xfId="0" applyFont="1" applyFill="1" applyBorder="1" applyAlignment="1">
      <alignment horizontal="center" vertical="center"/>
    </xf>
    <xf numFmtId="0" fontId="32" fillId="17" borderId="10" xfId="0" applyFont="1" applyFill="1" applyBorder="1" applyAlignment="1">
      <alignment horizontal="center" vertical="center"/>
    </xf>
    <xf numFmtId="0" fontId="29" fillId="17" borderId="4" xfId="0" applyFont="1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/>
    </xf>
    <xf numFmtId="0" fontId="30" fillId="17" borderId="6" xfId="0" applyFont="1" applyFill="1" applyBorder="1" applyAlignment="1">
      <alignment horizontal="center" vertical="center"/>
    </xf>
    <xf numFmtId="0" fontId="31" fillId="18" borderId="4" xfId="0" applyFont="1" applyFill="1" applyBorder="1" applyAlignment="1">
      <alignment horizontal="center" vertical="center"/>
    </xf>
    <xf numFmtId="0" fontId="31" fillId="18" borderId="5" xfId="0" applyFont="1" applyFill="1" applyBorder="1" applyAlignment="1">
      <alignment horizontal="center" vertical="center"/>
    </xf>
    <xf numFmtId="0" fontId="31" fillId="18" borderId="6" xfId="0" applyFont="1" applyFill="1" applyBorder="1" applyAlignment="1">
      <alignment horizontal="center" vertical="center"/>
    </xf>
    <xf numFmtId="0" fontId="43" fillId="11" borderId="2" xfId="0" applyFont="1" applyFill="1" applyBorder="1" applyAlignment="1">
      <alignment horizontal="center" vertical="center"/>
    </xf>
    <xf numFmtId="0" fontId="44" fillId="11" borderId="2" xfId="0" applyFont="1" applyFill="1" applyBorder="1"/>
    <xf numFmtId="0" fontId="43" fillId="12" borderId="4" xfId="0" applyFont="1" applyFill="1" applyBorder="1" applyAlignment="1">
      <alignment horizontal="center" vertical="center"/>
    </xf>
    <xf numFmtId="0" fontId="44" fillId="12" borderId="5" xfId="0" applyFont="1" applyFill="1" applyBorder="1" applyAlignment="1">
      <alignment horizontal="center" vertical="center"/>
    </xf>
    <xf numFmtId="0" fontId="44" fillId="0" borderId="5" xfId="0" applyFont="1" applyBorder="1"/>
    <xf numFmtId="0" fontId="43" fillId="14" borderId="4" xfId="0" applyFont="1" applyFill="1" applyBorder="1" applyAlignment="1">
      <alignment horizontal="center" vertical="center"/>
    </xf>
    <xf numFmtId="0" fontId="44" fillId="14" borderId="5" xfId="0" applyFont="1" applyFill="1" applyBorder="1" applyAlignment="1">
      <alignment horizontal="center" vertical="center"/>
    </xf>
    <xf numFmtId="0" fontId="40" fillId="14" borderId="5" xfId="0" applyFont="1" applyFill="1" applyBorder="1"/>
    <xf numFmtId="0" fontId="40" fillId="0" borderId="5" xfId="0" applyFont="1" applyBorder="1"/>
    <xf numFmtId="0" fontId="42" fillId="3" borderId="4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2" fillId="4" borderId="4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center" vertical="center"/>
    </xf>
    <xf numFmtId="0" fontId="41" fillId="5" borderId="7" xfId="0" applyFont="1" applyFill="1" applyBorder="1" applyAlignment="1">
      <alignment horizontal="center" vertical="center"/>
    </xf>
    <xf numFmtId="0" fontId="41" fillId="5" borderId="11" xfId="0" applyFont="1" applyFill="1" applyBorder="1" applyAlignment="1">
      <alignment horizontal="center" vertical="center"/>
    </xf>
    <xf numFmtId="0" fontId="41" fillId="5" borderId="8" xfId="0" applyFont="1" applyFill="1" applyBorder="1" applyAlignment="1">
      <alignment horizontal="center" vertical="center"/>
    </xf>
    <xf numFmtId="0" fontId="41" fillId="5" borderId="9" xfId="0" applyFont="1" applyFill="1" applyBorder="1" applyAlignment="1">
      <alignment horizontal="center" vertical="center"/>
    </xf>
    <xf numFmtId="0" fontId="41" fillId="5" borderId="12" xfId="0" applyFont="1" applyFill="1" applyBorder="1" applyAlignment="1">
      <alignment horizontal="center" vertical="center"/>
    </xf>
    <xf numFmtId="0" fontId="41" fillId="5" borderId="10" xfId="0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0" fontId="38" fillId="6" borderId="5" xfId="0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center" vertical="center"/>
    </xf>
    <xf numFmtId="0" fontId="41" fillId="15" borderId="7" xfId="0" applyFont="1" applyFill="1" applyBorder="1" applyAlignment="1">
      <alignment horizontal="center" vertical="center"/>
    </xf>
    <xf numFmtId="0" fontId="41" fillId="15" borderId="11" xfId="0" applyFont="1" applyFill="1" applyBorder="1" applyAlignment="1">
      <alignment horizontal="center" vertical="center"/>
    </xf>
    <xf numFmtId="0" fontId="41" fillId="15" borderId="8" xfId="0" applyFont="1" applyFill="1" applyBorder="1" applyAlignment="1">
      <alignment horizontal="center" vertical="center"/>
    </xf>
    <xf numFmtId="0" fontId="41" fillId="15" borderId="9" xfId="0" applyFont="1" applyFill="1" applyBorder="1" applyAlignment="1">
      <alignment horizontal="center" vertical="center"/>
    </xf>
    <xf numFmtId="0" fontId="41" fillId="15" borderId="12" xfId="0" applyFont="1" applyFill="1" applyBorder="1" applyAlignment="1">
      <alignment horizontal="center" vertical="center"/>
    </xf>
    <xf numFmtId="0" fontId="41" fillId="15" borderId="10" xfId="0" applyFont="1" applyFill="1" applyBorder="1" applyAlignment="1">
      <alignment horizontal="center" vertical="center"/>
    </xf>
    <xf numFmtId="0" fontId="41" fillId="8" borderId="7" xfId="0" applyFont="1" applyFill="1" applyBorder="1" applyAlignment="1">
      <alignment horizontal="center" vertical="center"/>
    </xf>
    <xf numFmtId="0" fontId="41" fillId="8" borderId="11" xfId="0" applyFont="1" applyFill="1" applyBorder="1" applyAlignment="1">
      <alignment horizontal="center" vertical="center"/>
    </xf>
    <xf numFmtId="0" fontId="41" fillId="8" borderId="8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0" fontId="41" fillId="8" borderId="12" xfId="0" applyFont="1" applyFill="1" applyBorder="1" applyAlignment="1">
      <alignment horizontal="center" vertical="center"/>
    </xf>
    <xf numFmtId="0" fontId="41" fillId="8" borderId="10" xfId="0" applyFont="1" applyFill="1" applyBorder="1" applyAlignment="1">
      <alignment horizontal="center" vertical="center"/>
    </xf>
    <xf numFmtId="0" fontId="41" fillId="20" borderId="7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41" fillId="20" borderId="8" xfId="0" applyFont="1" applyFill="1" applyBorder="1" applyAlignment="1">
      <alignment horizontal="center" vertical="center"/>
    </xf>
    <xf numFmtId="0" fontId="41" fillId="20" borderId="9" xfId="0" applyFont="1" applyFill="1" applyBorder="1" applyAlignment="1">
      <alignment horizontal="center" vertical="center"/>
    </xf>
    <xf numFmtId="0" fontId="41" fillId="20" borderId="12" xfId="0" applyFont="1" applyFill="1" applyBorder="1" applyAlignment="1">
      <alignment horizontal="center" vertical="center"/>
    </xf>
    <xf numFmtId="0" fontId="41" fillId="20" borderId="10" xfId="0" applyFont="1" applyFill="1" applyBorder="1" applyAlignment="1">
      <alignment horizontal="center" vertical="center"/>
    </xf>
    <xf numFmtId="0" fontId="43" fillId="17" borderId="2" xfId="0" applyFont="1" applyFill="1" applyBorder="1" applyAlignment="1">
      <alignment horizontal="center" vertical="center"/>
    </xf>
    <xf numFmtId="0" fontId="44" fillId="17" borderId="2" xfId="0" applyFont="1" applyFill="1" applyBorder="1"/>
    <xf numFmtId="0" fontId="42" fillId="19" borderId="4" xfId="0" applyFont="1" applyFill="1" applyBorder="1" applyAlignment="1">
      <alignment horizontal="center" vertical="center"/>
    </xf>
    <xf numFmtId="0" fontId="38" fillId="19" borderId="5" xfId="0" applyFont="1" applyFill="1" applyBorder="1" applyAlignment="1">
      <alignment horizontal="center" vertical="center"/>
    </xf>
    <xf numFmtId="0" fontId="38" fillId="19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right" vertical="top" wrapText="1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</cellXfs>
  <cellStyles count="3">
    <cellStyle name="Normal" xfId="0" builtinId="0"/>
    <cellStyle name="Normal 2" xfId="1" xr:uid="{75293FB2-72A3-4865-BC57-7C77BC425636}"/>
    <cellStyle name="Percent 2" xfId="2" xr:uid="{8C7152AF-28E7-4197-9DBA-1DF674827A5F}"/>
  </cellStyles>
  <dxfs count="0"/>
  <tableStyles count="0" defaultTableStyle="TableStyleMedium2" defaultPivotStyle="PivotStyleLight16"/>
  <colors>
    <mruColors>
      <color rgb="FFFCF2FB"/>
      <color rgb="FFF7E1F5"/>
      <color rgb="FFFFEAC1"/>
      <color rgb="FFFFDA8F"/>
      <color rgb="FFB0DEF2"/>
      <color rgb="FFFFFFCC"/>
      <color rgb="FFBC7D00"/>
      <color rgb="FFDE9400"/>
      <color rgb="FFFFB41D"/>
      <color rgb="FFFFE3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CI/Desktop/TEXT%20-%20EXCEL%20-%20LEED/TEXT%20-%20WELL%20-%20Project%20Checklist_New%20and%20Existing%20Interiors%20v1_Q1%202018%20Addenda.xlsx" TargetMode="External"/><Relationship Id="rId1" Type="http://schemas.openxmlformats.org/officeDocument/2006/relationships/externalLinkPath" Target="/Users/OCI/Desktop/TEXT%20-%20EXCEL%20-%20LEED/TEXT%20-%20WELL%20-%20Project%20Checklist_New%20and%20Existing%20Interiors%20v1_Q1%202018%20Adde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Project Checklist"/>
      <sheetName val="Certification Matrix"/>
      <sheetName val="Admin"/>
    </sheetNames>
    <sheetDataSet>
      <sheetData sheetId="0" refreshError="1"/>
      <sheetData sheetId="1" refreshError="1"/>
      <sheetData sheetId="2" refreshError="1"/>
      <sheetData sheetId="3">
        <row r="2">
          <cell r="M2" t="str">
            <v>NEI</v>
          </cell>
        </row>
        <row r="4">
          <cell r="A4">
            <v>1</v>
          </cell>
          <cell r="B4" t="str">
            <v xml:space="preserve">Air quality standards   </v>
          </cell>
          <cell r="C4" t="str">
            <v>Air</v>
          </cell>
          <cell r="D4" t="str">
            <v>P</v>
          </cell>
          <cell r="E4" t="str">
            <v>P</v>
          </cell>
          <cell r="F4" t="str">
            <v>P</v>
          </cell>
        </row>
        <row r="5">
          <cell r="A5">
            <v>2</v>
          </cell>
          <cell r="B5" t="str">
            <v xml:space="preserve">Smoking ban    </v>
          </cell>
          <cell r="C5" t="str">
            <v>Air</v>
          </cell>
          <cell r="D5" t="str">
            <v>P</v>
          </cell>
          <cell r="E5" t="str">
            <v>P</v>
          </cell>
          <cell r="F5" t="str">
            <v>P</v>
          </cell>
        </row>
        <row r="6">
          <cell r="A6">
            <v>3</v>
          </cell>
          <cell r="B6" t="str">
            <v xml:space="preserve">Ventilation effectiveness    </v>
          </cell>
          <cell r="C6" t="str">
            <v>Air</v>
          </cell>
          <cell r="D6" t="str">
            <v>P</v>
          </cell>
          <cell r="E6" t="str">
            <v>P</v>
          </cell>
          <cell r="F6" t="str">
            <v>P</v>
          </cell>
        </row>
        <row r="7">
          <cell r="A7">
            <v>4</v>
          </cell>
          <cell r="B7" t="str">
            <v xml:space="preserve">VOC reduction    </v>
          </cell>
          <cell r="C7" t="str">
            <v>Air</v>
          </cell>
          <cell r="D7" t="str">
            <v>P</v>
          </cell>
          <cell r="E7" t="str">
            <v>P</v>
          </cell>
          <cell r="F7" t="str">
            <v>P</v>
          </cell>
        </row>
        <row r="8">
          <cell r="A8">
            <v>5</v>
          </cell>
          <cell r="B8" t="str">
            <v xml:space="preserve">Air filtration    </v>
          </cell>
          <cell r="C8" t="str">
            <v>Air</v>
          </cell>
          <cell r="D8" t="str">
            <v>P</v>
          </cell>
          <cell r="E8" t="str">
            <v>P</v>
          </cell>
          <cell r="F8" t="str">
            <v>P</v>
          </cell>
        </row>
        <row r="9">
          <cell r="A9">
            <v>6</v>
          </cell>
          <cell r="B9" t="str">
            <v xml:space="preserve">Microbe and mold control  </v>
          </cell>
          <cell r="C9" t="str">
            <v>Air</v>
          </cell>
          <cell r="D9" t="str">
            <v>P</v>
          </cell>
          <cell r="E9" t="str">
            <v>P</v>
          </cell>
          <cell r="F9" t="str">
            <v>P</v>
          </cell>
        </row>
        <row r="10">
          <cell r="A10">
            <v>7</v>
          </cell>
          <cell r="B10" t="str">
            <v xml:space="preserve">Construction pollution management   </v>
          </cell>
          <cell r="C10" t="str">
            <v>Air</v>
          </cell>
          <cell r="D10" t="str">
            <v>P</v>
          </cell>
          <cell r="E10" t="str">
            <v>P</v>
          </cell>
          <cell r="F10" t="str">
            <v>P</v>
          </cell>
        </row>
        <row r="11">
          <cell r="A11">
            <v>8</v>
          </cell>
          <cell r="B11" t="str">
            <v xml:space="preserve">Healthy entrance    </v>
          </cell>
          <cell r="C11" t="str">
            <v>Air</v>
          </cell>
          <cell r="D11" t="str">
            <v>P</v>
          </cell>
          <cell r="E11" t="str">
            <v>O</v>
          </cell>
          <cell r="F11" t="str">
            <v>P</v>
          </cell>
        </row>
        <row r="12">
          <cell r="A12">
            <v>9</v>
          </cell>
          <cell r="B12" t="str">
            <v xml:space="preserve">Cleaning protocol    </v>
          </cell>
          <cell r="C12" t="str">
            <v>Air</v>
          </cell>
          <cell r="D12" t="str">
            <v>n/a</v>
          </cell>
          <cell r="E12" t="str">
            <v>P</v>
          </cell>
          <cell r="F12" t="str">
            <v>P</v>
          </cell>
        </row>
        <row r="13">
          <cell r="A13">
            <v>10</v>
          </cell>
          <cell r="B13" t="str">
            <v xml:space="preserve">Pesticide management    </v>
          </cell>
          <cell r="C13" t="str">
            <v>Air</v>
          </cell>
          <cell r="D13" t="str">
            <v>P</v>
          </cell>
          <cell r="E13" t="str">
            <v>n/a</v>
          </cell>
          <cell r="F13" t="str">
            <v>P</v>
          </cell>
        </row>
        <row r="14">
          <cell r="A14">
            <v>11</v>
          </cell>
          <cell r="B14" t="str">
            <v xml:space="preserve">Fundamental material safety   </v>
          </cell>
          <cell r="C14" t="str">
            <v>Air</v>
          </cell>
          <cell r="D14" t="str">
            <v>P</v>
          </cell>
          <cell r="E14" t="str">
            <v>P</v>
          </cell>
          <cell r="F14" t="str">
            <v>P</v>
          </cell>
        </row>
        <row r="15">
          <cell r="A15">
            <v>12</v>
          </cell>
          <cell r="B15" t="str">
            <v xml:space="preserve">Moisture management    </v>
          </cell>
          <cell r="C15" t="str">
            <v>Air</v>
          </cell>
          <cell r="D15" t="str">
            <v>P</v>
          </cell>
          <cell r="E15" t="str">
            <v>n/a</v>
          </cell>
          <cell r="F15" t="str">
            <v>P</v>
          </cell>
        </row>
        <row r="16">
          <cell r="A16">
            <v>13</v>
          </cell>
          <cell r="B16" t="str">
            <v xml:space="preserve">Air flush    </v>
          </cell>
          <cell r="C16" t="str">
            <v>Air</v>
          </cell>
          <cell r="D16" t="str">
            <v>n/a</v>
          </cell>
          <cell r="E16" t="str">
            <v>O</v>
          </cell>
          <cell r="F16" t="str">
            <v>O</v>
          </cell>
        </row>
        <row r="17">
          <cell r="A17">
            <v>14</v>
          </cell>
          <cell r="B17" t="str">
            <v xml:space="preserve">Air infiltration management   </v>
          </cell>
          <cell r="C17" t="str">
            <v>Air</v>
          </cell>
          <cell r="D17" t="str">
            <v>O</v>
          </cell>
          <cell r="E17" t="str">
            <v>O</v>
          </cell>
          <cell r="F17" t="str">
            <v>O</v>
          </cell>
        </row>
        <row r="18">
          <cell r="A18">
            <v>15</v>
          </cell>
          <cell r="B18" t="str">
            <v xml:space="preserve">Increased ventilation    </v>
          </cell>
          <cell r="C18" t="str">
            <v>Air</v>
          </cell>
          <cell r="D18" t="str">
            <v>O</v>
          </cell>
          <cell r="E18" t="str">
            <v>O</v>
          </cell>
          <cell r="F18" t="str">
            <v>O</v>
          </cell>
        </row>
        <row r="19">
          <cell r="A19">
            <v>16</v>
          </cell>
          <cell r="B19" t="str">
            <v xml:space="preserve">Humidity control    </v>
          </cell>
          <cell r="C19" t="str">
            <v>Air</v>
          </cell>
          <cell r="D19" t="str">
            <v>n/a</v>
          </cell>
          <cell r="E19" t="str">
            <v>O</v>
          </cell>
          <cell r="F19" t="str">
            <v>O</v>
          </cell>
        </row>
        <row r="20">
          <cell r="A20">
            <v>17</v>
          </cell>
          <cell r="B20" t="str">
            <v xml:space="preserve">Direct source ventilation   </v>
          </cell>
          <cell r="C20" t="str">
            <v>Air</v>
          </cell>
          <cell r="D20" t="str">
            <v>O</v>
          </cell>
          <cell r="E20" t="str">
            <v>O</v>
          </cell>
          <cell r="F20" t="str">
            <v>O</v>
          </cell>
        </row>
        <row r="21">
          <cell r="A21">
            <v>18</v>
          </cell>
          <cell r="B21" t="str">
            <v xml:space="preserve">Air quality monitoring and feedback </v>
          </cell>
          <cell r="C21" t="str">
            <v>Air</v>
          </cell>
          <cell r="D21" t="str">
            <v>n/a</v>
          </cell>
          <cell r="E21" t="str">
            <v>O</v>
          </cell>
          <cell r="F21" t="str">
            <v>O</v>
          </cell>
        </row>
        <row r="22">
          <cell r="A22">
            <v>19</v>
          </cell>
          <cell r="B22" t="str">
            <v xml:space="preserve">Operable windows    </v>
          </cell>
          <cell r="C22" t="str">
            <v>Air</v>
          </cell>
          <cell r="D22" t="str">
            <v>O</v>
          </cell>
          <cell r="E22" t="str">
            <v>O</v>
          </cell>
          <cell r="F22" t="str">
            <v>O</v>
          </cell>
        </row>
        <row r="23">
          <cell r="A23">
            <v>20</v>
          </cell>
          <cell r="B23" t="str">
            <v xml:space="preserve">Outdoor air systems   </v>
          </cell>
          <cell r="C23" t="str">
            <v>Air</v>
          </cell>
          <cell r="D23" t="str">
            <v>O</v>
          </cell>
          <cell r="E23" t="str">
            <v>O</v>
          </cell>
          <cell r="F23" t="str">
            <v>O</v>
          </cell>
        </row>
        <row r="24">
          <cell r="A24">
            <v>21</v>
          </cell>
          <cell r="B24" t="str">
            <v xml:space="preserve">Displacement ventilation    </v>
          </cell>
          <cell r="C24" t="str">
            <v>Air</v>
          </cell>
          <cell r="D24" t="str">
            <v>n/a</v>
          </cell>
          <cell r="E24" t="str">
            <v>O</v>
          </cell>
          <cell r="F24" t="str">
            <v>O</v>
          </cell>
        </row>
        <row r="25">
          <cell r="A25">
            <v>22</v>
          </cell>
          <cell r="B25" t="str">
            <v xml:space="preserve">Pest control    </v>
          </cell>
          <cell r="C25" t="str">
            <v>Air</v>
          </cell>
          <cell r="D25" t="str">
            <v>n/a</v>
          </cell>
          <cell r="E25" t="str">
            <v>O</v>
          </cell>
          <cell r="F25" t="str">
            <v>O</v>
          </cell>
        </row>
        <row r="26">
          <cell r="A26">
            <v>23</v>
          </cell>
          <cell r="B26" t="str">
            <v xml:space="preserve">Advanced air purification </v>
          </cell>
          <cell r="C26" t="str">
            <v>Air</v>
          </cell>
          <cell r="D26" t="str">
            <v>O</v>
          </cell>
          <cell r="E26" t="str">
            <v>O</v>
          </cell>
          <cell r="F26" t="str">
            <v>O</v>
          </cell>
        </row>
        <row r="27">
          <cell r="A27">
            <v>24</v>
          </cell>
          <cell r="B27" t="str">
            <v xml:space="preserve">Combustion minimization </v>
          </cell>
          <cell r="C27" t="str">
            <v>Air</v>
          </cell>
          <cell r="D27" t="str">
            <v>O</v>
          </cell>
          <cell r="E27" t="str">
            <v>O</v>
          </cell>
          <cell r="F27" t="str">
            <v>O</v>
          </cell>
        </row>
        <row r="28">
          <cell r="A28">
            <v>25</v>
          </cell>
          <cell r="B28" t="str">
            <v xml:space="preserve">Toxic material reduction </v>
          </cell>
          <cell r="C28" t="str">
            <v>Air</v>
          </cell>
          <cell r="D28" t="str">
            <v>n/a</v>
          </cell>
          <cell r="E28" t="str">
            <v>O</v>
          </cell>
          <cell r="F28" t="str">
            <v>O</v>
          </cell>
        </row>
        <row r="29">
          <cell r="A29">
            <v>26</v>
          </cell>
          <cell r="B29" t="str">
            <v xml:space="preserve">Enhanced material safety </v>
          </cell>
          <cell r="C29" t="str">
            <v>Air</v>
          </cell>
          <cell r="D29" t="str">
            <v>n/a</v>
          </cell>
          <cell r="E29" t="str">
            <v>O</v>
          </cell>
          <cell r="F29" t="str">
            <v>O</v>
          </cell>
        </row>
        <row r="30">
          <cell r="A30">
            <v>27</v>
          </cell>
          <cell r="B30" t="str">
            <v xml:space="preserve">Antimicrobial activity for surfaces </v>
          </cell>
          <cell r="C30" t="str">
            <v>Air</v>
          </cell>
          <cell r="D30" t="str">
            <v>n/a</v>
          </cell>
          <cell r="E30" t="str">
            <v>O</v>
          </cell>
          <cell r="F30" t="str">
            <v>O</v>
          </cell>
        </row>
        <row r="31">
          <cell r="A31">
            <v>28</v>
          </cell>
          <cell r="B31" t="str">
            <v xml:space="preserve">Cleanable environment </v>
          </cell>
          <cell r="C31" t="str">
            <v>Air</v>
          </cell>
          <cell r="D31" t="str">
            <v>n/a</v>
          </cell>
          <cell r="E31" t="str">
            <v>O</v>
          </cell>
          <cell r="F31" t="str">
            <v>O</v>
          </cell>
        </row>
        <row r="32">
          <cell r="A32">
            <v>29</v>
          </cell>
          <cell r="B32" t="str">
            <v xml:space="preserve">Cleaning equipment </v>
          </cell>
          <cell r="C32" t="str">
            <v>Air</v>
          </cell>
          <cell r="D32" t="str">
            <v>n/a</v>
          </cell>
          <cell r="E32" t="str">
            <v>O</v>
          </cell>
          <cell r="F32" t="str">
            <v>O</v>
          </cell>
        </row>
        <row r="33">
          <cell r="A33">
            <v>30</v>
          </cell>
          <cell r="B33" t="str">
            <v xml:space="preserve">Fundamental water quality </v>
          </cell>
          <cell r="C33" t="str">
            <v>Water</v>
          </cell>
          <cell r="D33" t="str">
            <v>P</v>
          </cell>
          <cell r="E33" t="str">
            <v>P</v>
          </cell>
          <cell r="F33" t="str">
            <v>P</v>
          </cell>
        </row>
        <row r="34">
          <cell r="A34">
            <v>31</v>
          </cell>
          <cell r="B34" t="str">
            <v xml:space="preserve">Inorganic contaminants </v>
          </cell>
          <cell r="C34" t="str">
            <v>Water</v>
          </cell>
          <cell r="D34" t="str">
            <v>P</v>
          </cell>
          <cell r="E34" t="str">
            <v>P</v>
          </cell>
          <cell r="F34" t="str">
            <v>P</v>
          </cell>
        </row>
        <row r="35">
          <cell r="A35">
            <v>32</v>
          </cell>
          <cell r="B35" t="str">
            <v xml:space="preserve">Organic contaminants </v>
          </cell>
          <cell r="C35" t="str">
            <v>Water</v>
          </cell>
          <cell r="D35" t="str">
            <v>P</v>
          </cell>
          <cell r="E35" t="str">
            <v>P</v>
          </cell>
          <cell r="F35" t="str">
            <v>P</v>
          </cell>
        </row>
        <row r="36">
          <cell r="A36">
            <v>33</v>
          </cell>
          <cell r="B36" t="str">
            <v xml:space="preserve">Agricultural contaminants </v>
          </cell>
          <cell r="C36" t="str">
            <v>Water</v>
          </cell>
          <cell r="D36" t="str">
            <v>P</v>
          </cell>
          <cell r="E36" t="str">
            <v>P</v>
          </cell>
          <cell r="F36" t="str">
            <v>P</v>
          </cell>
        </row>
        <row r="37">
          <cell r="A37">
            <v>34</v>
          </cell>
          <cell r="B37" t="str">
            <v xml:space="preserve">Public water additives </v>
          </cell>
          <cell r="C37" t="str">
            <v>Water</v>
          </cell>
          <cell r="D37" t="str">
            <v>P</v>
          </cell>
          <cell r="E37" t="str">
            <v>P</v>
          </cell>
          <cell r="F37" t="str">
            <v>P</v>
          </cell>
        </row>
        <row r="38">
          <cell r="A38">
            <v>35</v>
          </cell>
          <cell r="B38" t="str">
            <v xml:space="preserve">Periodic water quality testing </v>
          </cell>
          <cell r="C38" t="str">
            <v>Water</v>
          </cell>
          <cell r="D38" t="str">
            <v>n/a</v>
          </cell>
          <cell r="E38" t="str">
            <v>O</v>
          </cell>
          <cell r="F38" t="str">
            <v>O</v>
          </cell>
        </row>
        <row r="39">
          <cell r="A39">
            <v>36</v>
          </cell>
          <cell r="B39" t="str">
            <v xml:space="preserve">Water treatment </v>
          </cell>
          <cell r="C39" t="str">
            <v>Water</v>
          </cell>
          <cell r="D39" t="str">
            <v>O</v>
          </cell>
          <cell r="E39" t="str">
            <v>O</v>
          </cell>
          <cell r="F39" t="str">
            <v>O</v>
          </cell>
        </row>
        <row r="40">
          <cell r="A40">
            <v>37</v>
          </cell>
          <cell r="B40" t="str">
            <v xml:space="preserve">Drinking water promotion </v>
          </cell>
          <cell r="C40" t="str">
            <v>Water</v>
          </cell>
          <cell r="D40" t="str">
            <v>O</v>
          </cell>
          <cell r="E40" t="str">
            <v>O</v>
          </cell>
          <cell r="F40" t="str">
            <v>O</v>
          </cell>
        </row>
        <row r="41">
          <cell r="A41">
            <v>38</v>
          </cell>
          <cell r="B41" t="str">
            <v xml:space="preserve">Fruits and vegetables </v>
          </cell>
          <cell r="C41" t="str">
            <v>Nourishment</v>
          </cell>
          <cell r="D41" t="str">
            <v>n/a</v>
          </cell>
          <cell r="E41" t="str">
            <v>P</v>
          </cell>
          <cell r="F41" t="str">
            <v>P</v>
          </cell>
        </row>
        <row r="42">
          <cell r="A42">
            <v>39</v>
          </cell>
          <cell r="B42" t="str">
            <v xml:space="preserve">Processed foods </v>
          </cell>
          <cell r="C42" t="str">
            <v>Nourishment</v>
          </cell>
          <cell r="D42" t="str">
            <v>P</v>
          </cell>
          <cell r="E42" t="str">
            <v>P</v>
          </cell>
          <cell r="F42" t="str">
            <v>P</v>
          </cell>
        </row>
        <row r="43">
          <cell r="A43">
            <v>40</v>
          </cell>
          <cell r="B43" t="str">
            <v xml:space="preserve">Food allergies </v>
          </cell>
          <cell r="C43" t="str">
            <v>Nourishment</v>
          </cell>
          <cell r="D43" t="str">
            <v>P</v>
          </cell>
          <cell r="E43" t="str">
            <v>P</v>
          </cell>
          <cell r="F43" t="str">
            <v>P</v>
          </cell>
        </row>
        <row r="44">
          <cell r="A44">
            <v>41</v>
          </cell>
          <cell r="B44" t="str">
            <v xml:space="preserve">Hand washing </v>
          </cell>
          <cell r="C44" t="str">
            <v>Nourishment</v>
          </cell>
          <cell r="D44" t="str">
            <v>n/a</v>
          </cell>
          <cell r="E44" t="str">
            <v>P</v>
          </cell>
          <cell r="F44" t="str">
            <v>P</v>
          </cell>
        </row>
        <row r="45">
          <cell r="A45">
            <v>42</v>
          </cell>
          <cell r="B45" t="str">
            <v xml:space="preserve">Food contamination </v>
          </cell>
          <cell r="C45" t="str">
            <v>Nourishment</v>
          </cell>
          <cell r="D45" t="str">
            <v>n/a</v>
          </cell>
          <cell r="E45" t="str">
            <v>P</v>
          </cell>
          <cell r="F45" t="str">
            <v>P</v>
          </cell>
        </row>
        <row r="46">
          <cell r="A46">
            <v>43</v>
          </cell>
          <cell r="B46" t="str">
            <v xml:space="preserve">Artificial ingredients </v>
          </cell>
          <cell r="C46" t="str">
            <v>Nourishment</v>
          </cell>
          <cell r="D46" t="str">
            <v>O</v>
          </cell>
          <cell r="E46" t="str">
            <v>P</v>
          </cell>
          <cell r="F46" t="str">
            <v>P</v>
          </cell>
        </row>
        <row r="47">
          <cell r="A47">
            <v>44</v>
          </cell>
          <cell r="B47" t="str">
            <v xml:space="preserve">Nutritional information </v>
          </cell>
          <cell r="C47" t="str">
            <v>Nourishment</v>
          </cell>
          <cell r="D47" t="str">
            <v>O</v>
          </cell>
          <cell r="E47" t="str">
            <v>P</v>
          </cell>
          <cell r="F47" t="str">
            <v>P</v>
          </cell>
        </row>
        <row r="48">
          <cell r="A48">
            <v>45</v>
          </cell>
          <cell r="B48" t="str">
            <v xml:space="preserve">Food advertising </v>
          </cell>
          <cell r="C48" t="str">
            <v>Nourishment</v>
          </cell>
          <cell r="D48" t="str">
            <v>O</v>
          </cell>
          <cell r="E48" t="str">
            <v>P</v>
          </cell>
          <cell r="F48" t="str">
            <v>P</v>
          </cell>
        </row>
        <row r="49">
          <cell r="A49">
            <v>46</v>
          </cell>
          <cell r="B49" t="str">
            <v xml:space="preserve">Safe food preparation materials </v>
          </cell>
          <cell r="C49" t="str">
            <v>Nourishment</v>
          </cell>
          <cell r="D49" t="str">
            <v>n/a</v>
          </cell>
          <cell r="E49" t="str">
            <v>O</v>
          </cell>
          <cell r="F49" t="str">
            <v>O</v>
          </cell>
        </row>
        <row r="50">
          <cell r="A50">
            <v>47</v>
          </cell>
          <cell r="B50" t="str">
            <v xml:space="preserve">Serving sizes </v>
          </cell>
          <cell r="C50" t="str">
            <v>Nourishment</v>
          </cell>
          <cell r="D50" t="str">
            <v>n/a</v>
          </cell>
          <cell r="E50" t="str">
            <v>O</v>
          </cell>
          <cell r="F50" t="str">
            <v>O</v>
          </cell>
        </row>
        <row r="51">
          <cell r="A51">
            <v>48</v>
          </cell>
          <cell r="B51" t="str">
            <v xml:space="preserve">Special diets </v>
          </cell>
          <cell r="C51" t="str">
            <v>Nourishment</v>
          </cell>
          <cell r="D51" t="str">
            <v>n/a</v>
          </cell>
          <cell r="E51" t="str">
            <v>O</v>
          </cell>
          <cell r="F51" t="str">
            <v>O</v>
          </cell>
        </row>
        <row r="52">
          <cell r="A52">
            <v>49</v>
          </cell>
          <cell r="B52" t="str">
            <v xml:space="preserve">Responsible food production </v>
          </cell>
          <cell r="C52" t="str">
            <v>Nourishment</v>
          </cell>
          <cell r="D52" t="str">
            <v>n/a</v>
          </cell>
          <cell r="E52" t="str">
            <v>O</v>
          </cell>
          <cell r="F52" t="str">
            <v>O</v>
          </cell>
        </row>
        <row r="53">
          <cell r="A53">
            <v>50</v>
          </cell>
          <cell r="B53" t="str">
            <v xml:space="preserve">Food storage </v>
          </cell>
          <cell r="C53" t="str">
            <v>Nourishment</v>
          </cell>
          <cell r="D53" t="str">
            <v>n/a</v>
          </cell>
          <cell r="E53" t="str">
            <v>O</v>
          </cell>
          <cell r="F53" t="str">
            <v>O</v>
          </cell>
        </row>
        <row r="54">
          <cell r="A54">
            <v>51</v>
          </cell>
          <cell r="B54" t="str">
            <v xml:space="preserve">Food production </v>
          </cell>
          <cell r="C54" t="str">
            <v>Nourishment</v>
          </cell>
          <cell r="D54" t="str">
            <v>O</v>
          </cell>
          <cell r="E54" t="str">
            <v>O</v>
          </cell>
          <cell r="F54" t="str">
            <v>O</v>
          </cell>
        </row>
        <row r="55">
          <cell r="A55">
            <v>52</v>
          </cell>
          <cell r="B55" t="str">
            <v xml:space="preserve">Mindful eating </v>
          </cell>
          <cell r="C55" t="str">
            <v>Nourishment</v>
          </cell>
          <cell r="D55" t="str">
            <v>O</v>
          </cell>
          <cell r="E55" t="str">
            <v>O</v>
          </cell>
          <cell r="F55" t="str">
            <v>O</v>
          </cell>
        </row>
        <row r="56">
          <cell r="A56">
            <v>53</v>
          </cell>
          <cell r="B56" t="str">
            <v xml:space="preserve">Visual lighting design </v>
          </cell>
          <cell r="C56" t="str">
            <v>Light</v>
          </cell>
          <cell r="D56" t="str">
            <v>n/a</v>
          </cell>
          <cell r="E56" t="str">
            <v>P</v>
          </cell>
          <cell r="F56" t="str">
            <v>P</v>
          </cell>
        </row>
        <row r="57">
          <cell r="A57">
            <v>54</v>
          </cell>
          <cell r="B57" t="str">
            <v xml:space="preserve">Circadian lighting design </v>
          </cell>
          <cell r="C57" t="str">
            <v>Light</v>
          </cell>
          <cell r="D57" t="str">
            <v>n/a</v>
          </cell>
          <cell r="E57" t="str">
            <v>P</v>
          </cell>
          <cell r="F57" t="str">
            <v>P</v>
          </cell>
        </row>
        <row r="58">
          <cell r="A58">
            <v>55</v>
          </cell>
          <cell r="B58" t="str">
            <v xml:space="preserve">Electric light glare control </v>
          </cell>
          <cell r="C58" t="str">
            <v>Light</v>
          </cell>
          <cell r="D58" t="str">
            <v>P</v>
          </cell>
          <cell r="E58" t="str">
            <v>P</v>
          </cell>
          <cell r="F58" t="str">
            <v>P</v>
          </cell>
        </row>
        <row r="59">
          <cell r="A59">
            <v>56</v>
          </cell>
          <cell r="B59" t="str">
            <v xml:space="preserve">Solar glare control </v>
          </cell>
          <cell r="C59" t="str">
            <v>Light</v>
          </cell>
          <cell r="D59" t="str">
            <v>O</v>
          </cell>
          <cell r="E59" t="str">
            <v>P</v>
          </cell>
          <cell r="F59" t="str">
            <v>P</v>
          </cell>
        </row>
        <row r="60">
          <cell r="A60">
            <v>57</v>
          </cell>
          <cell r="B60" t="str">
            <v xml:space="preserve">Low-glare workstation design </v>
          </cell>
          <cell r="C60" t="str">
            <v>Light</v>
          </cell>
          <cell r="D60" t="str">
            <v>n/a</v>
          </cell>
          <cell r="E60" t="str">
            <v>O</v>
          </cell>
          <cell r="F60" t="str">
            <v>O</v>
          </cell>
        </row>
        <row r="61">
          <cell r="A61">
            <v>58</v>
          </cell>
          <cell r="B61" t="str">
            <v xml:space="preserve">Color quality </v>
          </cell>
          <cell r="C61" t="str">
            <v>Light</v>
          </cell>
          <cell r="D61" t="str">
            <v>n/a</v>
          </cell>
          <cell r="E61" t="str">
            <v>O</v>
          </cell>
          <cell r="F61" t="str">
            <v>O</v>
          </cell>
        </row>
        <row r="62">
          <cell r="A62">
            <v>59</v>
          </cell>
          <cell r="B62" t="str">
            <v xml:space="preserve">Surface design </v>
          </cell>
          <cell r="C62" t="str">
            <v>Light</v>
          </cell>
          <cell r="D62" t="str">
            <v>n/a</v>
          </cell>
          <cell r="E62" t="str">
            <v>O</v>
          </cell>
          <cell r="F62" t="str">
            <v>O</v>
          </cell>
        </row>
        <row r="63">
          <cell r="A63">
            <v>60</v>
          </cell>
          <cell r="B63" t="str">
            <v xml:space="preserve">Automated shading and dimming controls </v>
          </cell>
          <cell r="C63" t="str">
            <v>Light</v>
          </cell>
          <cell r="D63" t="str">
            <v>n/a</v>
          </cell>
          <cell r="E63" t="str">
            <v>O</v>
          </cell>
          <cell r="F63" t="str">
            <v>O</v>
          </cell>
        </row>
        <row r="64">
          <cell r="A64">
            <v>61</v>
          </cell>
          <cell r="B64" t="str">
            <v xml:space="preserve">Right to light </v>
          </cell>
          <cell r="C64" t="str">
            <v>Light</v>
          </cell>
          <cell r="D64" t="str">
            <v>O</v>
          </cell>
          <cell r="E64" t="str">
            <v>O</v>
          </cell>
          <cell r="F64" t="str">
            <v>O</v>
          </cell>
        </row>
        <row r="65">
          <cell r="A65">
            <v>62</v>
          </cell>
          <cell r="B65" t="str">
            <v xml:space="preserve">Daylight modeling </v>
          </cell>
          <cell r="C65" t="str">
            <v>Light</v>
          </cell>
          <cell r="D65" t="str">
            <v>O</v>
          </cell>
          <cell r="E65" t="str">
            <v>O</v>
          </cell>
          <cell r="F65" t="str">
            <v>O</v>
          </cell>
        </row>
        <row r="66">
          <cell r="A66">
            <v>63</v>
          </cell>
          <cell r="B66" t="str">
            <v xml:space="preserve">Daylighting fenestration </v>
          </cell>
          <cell r="C66" t="str">
            <v>Light</v>
          </cell>
          <cell r="D66" t="str">
            <v>O</v>
          </cell>
          <cell r="E66" t="str">
            <v>O</v>
          </cell>
          <cell r="F66" t="str">
            <v>O</v>
          </cell>
        </row>
        <row r="67">
          <cell r="A67">
            <v>64</v>
          </cell>
          <cell r="B67" t="str">
            <v xml:space="preserve">Interior fitness circulation </v>
          </cell>
          <cell r="C67" t="str">
            <v>Fitness</v>
          </cell>
          <cell r="D67" t="str">
            <v>P</v>
          </cell>
          <cell r="E67" t="str">
            <v>O</v>
          </cell>
          <cell r="F67" t="str">
            <v>P</v>
          </cell>
        </row>
        <row r="68">
          <cell r="A68">
            <v>65</v>
          </cell>
          <cell r="B68" t="str">
            <v xml:space="preserve">Activity incentive programs </v>
          </cell>
          <cell r="C68" t="str">
            <v>Fitness</v>
          </cell>
          <cell r="D68" t="str">
            <v>n/a</v>
          </cell>
          <cell r="E68" t="str">
            <v>P</v>
          </cell>
          <cell r="F68" t="str">
            <v>P</v>
          </cell>
        </row>
        <row r="69">
          <cell r="A69">
            <v>66</v>
          </cell>
          <cell r="B69" t="str">
            <v xml:space="preserve">Structured fitness opportunities </v>
          </cell>
          <cell r="C69" t="str">
            <v>Fitness</v>
          </cell>
          <cell r="D69" t="str">
            <v>n/a</v>
          </cell>
          <cell r="E69" t="str">
            <v>O</v>
          </cell>
          <cell r="F69" t="str">
            <v>O</v>
          </cell>
        </row>
        <row r="70">
          <cell r="A70">
            <v>67</v>
          </cell>
          <cell r="B70" t="str">
            <v xml:space="preserve">Exterior active design </v>
          </cell>
          <cell r="C70" t="str">
            <v>Fitness</v>
          </cell>
          <cell r="D70" t="str">
            <v>O</v>
          </cell>
          <cell r="E70" t="str">
            <v>O</v>
          </cell>
          <cell r="F70" t="str">
            <v>O</v>
          </cell>
        </row>
        <row r="71">
          <cell r="A71">
            <v>68</v>
          </cell>
          <cell r="B71" t="str">
            <v xml:space="preserve">Physical activity spaces </v>
          </cell>
          <cell r="C71" t="str">
            <v>Fitness</v>
          </cell>
          <cell r="D71" t="str">
            <v>O</v>
          </cell>
          <cell r="E71" t="str">
            <v>O</v>
          </cell>
          <cell r="F71" t="str">
            <v>O</v>
          </cell>
        </row>
        <row r="72">
          <cell r="A72">
            <v>69</v>
          </cell>
          <cell r="B72" t="str">
            <v xml:space="preserve">Active transportation support </v>
          </cell>
          <cell r="C72" t="str">
            <v>Fitness</v>
          </cell>
          <cell r="D72" t="str">
            <v>O</v>
          </cell>
          <cell r="E72" t="str">
            <v>O</v>
          </cell>
          <cell r="F72" t="str">
            <v>O</v>
          </cell>
        </row>
        <row r="73">
          <cell r="A73">
            <v>70</v>
          </cell>
          <cell r="B73" t="str">
            <v xml:space="preserve">Fitness equipment </v>
          </cell>
          <cell r="C73" t="str">
            <v>Fitness</v>
          </cell>
          <cell r="D73" t="str">
            <v>O</v>
          </cell>
          <cell r="E73" t="str">
            <v>O</v>
          </cell>
          <cell r="F73" t="str">
            <v>O</v>
          </cell>
        </row>
        <row r="74">
          <cell r="A74">
            <v>71</v>
          </cell>
          <cell r="B74" t="str">
            <v xml:space="preserve">Active furnishings </v>
          </cell>
          <cell r="C74" t="str">
            <v>Fitness</v>
          </cell>
          <cell r="D74" t="str">
            <v>n/a</v>
          </cell>
          <cell r="E74" t="str">
            <v>O</v>
          </cell>
          <cell r="F74" t="str">
            <v>O</v>
          </cell>
        </row>
        <row r="75">
          <cell r="A75">
            <v>72</v>
          </cell>
          <cell r="B75" t="str">
            <v xml:space="preserve">ADA accessible design standards </v>
          </cell>
          <cell r="C75" t="str">
            <v>Comfort</v>
          </cell>
          <cell r="D75" t="str">
            <v>P</v>
          </cell>
          <cell r="E75" t="str">
            <v>P</v>
          </cell>
          <cell r="F75" t="str">
            <v>P</v>
          </cell>
        </row>
        <row r="76">
          <cell r="A76">
            <v>73</v>
          </cell>
          <cell r="B76" t="str">
            <v xml:space="preserve">Ergonomics: visual and physical </v>
          </cell>
          <cell r="C76" t="str">
            <v>Comfort</v>
          </cell>
          <cell r="D76" t="str">
            <v>n/a</v>
          </cell>
          <cell r="E76" t="str">
            <v>P</v>
          </cell>
          <cell r="F76" t="str">
            <v>P</v>
          </cell>
        </row>
        <row r="77">
          <cell r="A77">
            <v>74</v>
          </cell>
          <cell r="B77" t="str">
            <v xml:space="preserve">Exterior noise intrusion </v>
          </cell>
          <cell r="C77" t="str">
            <v>Comfort</v>
          </cell>
          <cell r="D77" t="str">
            <v>P</v>
          </cell>
          <cell r="E77" t="str">
            <v>O</v>
          </cell>
          <cell r="F77" t="str">
            <v>P</v>
          </cell>
        </row>
        <row r="78">
          <cell r="A78">
            <v>75</v>
          </cell>
          <cell r="B78" t="str">
            <v xml:space="preserve">Internally generated noise </v>
          </cell>
          <cell r="C78" t="str">
            <v>Comfort</v>
          </cell>
          <cell r="D78" t="str">
            <v>O</v>
          </cell>
          <cell r="E78" t="str">
            <v>P</v>
          </cell>
          <cell r="F78" t="str">
            <v>P</v>
          </cell>
        </row>
        <row r="79">
          <cell r="A79">
            <v>76</v>
          </cell>
          <cell r="B79" t="str">
            <v xml:space="preserve">Thermal comfort </v>
          </cell>
          <cell r="C79" t="str">
            <v>Comfort</v>
          </cell>
          <cell r="D79" t="str">
            <v>P</v>
          </cell>
          <cell r="E79" t="str">
            <v>P</v>
          </cell>
          <cell r="F79" t="str">
            <v>P</v>
          </cell>
        </row>
        <row r="80">
          <cell r="A80">
            <v>77</v>
          </cell>
          <cell r="B80" t="str">
            <v xml:space="preserve">Olfactory comfort </v>
          </cell>
          <cell r="C80" t="str">
            <v>Comfort</v>
          </cell>
          <cell r="D80" t="str">
            <v>n/a</v>
          </cell>
          <cell r="E80" t="str">
            <v>O</v>
          </cell>
          <cell r="F80" t="str">
            <v>O</v>
          </cell>
        </row>
        <row r="81">
          <cell r="A81">
            <v>78</v>
          </cell>
          <cell r="B81" t="str">
            <v xml:space="preserve">Reverberation time </v>
          </cell>
          <cell r="C81" t="str">
            <v>Comfort</v>
          </cell>
          <cell r="D81" t="str">
            <v>n/a</v>
          </cell>
          <cell r="E81" t="str">
            <v>O</v>
          </cell>
          <cell r="F81" t="str">
            <v>O</v>
          </cell>
        </row>
        <row r="82">
          <cell r="A82">
            <v>79</v>
          </cell>
          <cell r="B82" t="str">
            <v xml:space="preserve">Sound masking </v>
          </cell>
          <cell r="C82" t="str">
            <v>Comfort</v>
          </cell>
          <cell r="D82" t="str">
            <v>n/a</v>
          </cell>
          <cell r="E82" t="str">
            <v>O</v>
          </cell>
          <cell r="F82" t="str">
            <v>O</v>
          </cell>
        </row>
        <row r="83">
          <cell r="A83">
            <v>80</v>
          </cell>
          <cell r="B83" t="str">
            <v xml:space="preserve">Sound reducing surfaces </v>
          </cell>
          <cell r="C83" t="str">
            <v>Comfort</v>
          </cell>
          <cell r="D83" t="str">
            <v>n/a</v>
          </cell>
          <cell r="E83" t="str">
            <v>O</v>
          </cell>
          <cell r="F83" t="str">
            <v>O</v>
          </cell>
        </row>
        <row r="84">
          <cell r="A84">
            <v>81</v>
          </cell>
          <cell r="B84" t="str">
            <v xml:space="preserve">Sound barriers </v>
          </cell>
          <cell r="C84" t="str">
            <v>Comfort</v>
          </cell>
          <cell r="D84" t="str">
            <v>n/a</v>
          </cell>
          <cell r="E84" t="str">
            <v>O</v>
          </cell>
          <cell r="F84" t="str">
            <v>O</v>
          </cell>
        </row>
        <row r="85">
          <cell r="A85">
            <v>82</v>
          </cell>
          <cell r="B85" t="str">
            <v xml:space="preserve">Individual thermal control </v>
          </cell>
          <cell r="C85" t="str">
            <v>Comfort</v>
          </cell>
          <cell r="D85" t="str">
            <v>n/a</v>
          </cell>
          <cell r="E85" t="str">
            <v>O</v>
          </cell>
          <cell r="F85" t="str">
            <v>O</v>
          </cell>
        </row>
        <row r="86">
          <cell r="A86">
            <v>83</v>
          </cell>
          <cell r="B86" t="str">
            <v xml:space="preserve">Radiant thermal comfort </v>
          </cell>
          <cell r="C86" t="str">
            <v>Comfort</v>
          </cell>
          <cell r="D86" t="str">
            <v>O</v>
          </cell>
          <cell r="E86" t="str">
            <v>O</v>
          </cell>
          <cell r="F86" t="str">
            <v>O</v>
          </cell>
        </row>
        <row r="87">
          <cell r="A87">
            <v>84</v>
          </cell>
          <cell r="B87" t="str">
            <v xml:space="preserve">Health and wellness awareness </v>
          </cell>
          <cell r="C87" t="str">
            <v>Mind</v>
          </cell>
          <cell r="D87" t="str">
            <v>P</v>
          </cell>
          <cell r="E87" t="str">
            <v>P</v>
          </cell>
          <cell r="F87" t="str">
            <v>P</v>
          </cell>
        </row>
        <row r="88">
          <cell r="A88">
            <v>85</v>
          </cell>
          <cell r="B88" t="str">
            <v xml:space="preserve">Integrative design </v>
          </cell>
          <cell r="C88" t="str">
            <v>Mind</v>
          </cell>
          <cell r="D88" t="str">
            <v>P</v>
          </cell>
          <cell r="E88" t="str">
            <v>P</v>
          </cell>
          <cell r="F88" t="str">
            <v>P</v>
          </cell>
        </row>
        <row r="89">
          <cell r="A89">
            <v>86</v>
          </cell>
          <cell r="B89" t="str">
            <v xml:space="preserve">Post-occupancy surveys </v>
          </cell>
          <cell r="C89" t="str">
            <v>Mind</v>
          </cell>
          <cell r="D89" t="str">
            <v>n/a</v>
          </cell>
          <cell r="E89" t="str">
            <v>P</v>
          </cell>
          <cell r="F89" t="str">
            <v>P</v>
          </cell>
        </row>
        <row r="90">
          <cell r="A90">
            <v>87</v>
          </cell>
          <cell r="B90" t="str">
            <v xml:space="preserve">Beauty and design I </v>
          </cell>
          <cell r="C90" t="str">
            <v>Mind</v>
          </cell>
          <cell r="D90" t="str">
            <v>P</v>
          </cell>
          <cell r="E90" t="str">
            <v>P</v>
          </cell>
          <cell r="F90" t="str">
            <v>P</v>
          </cell>
        </row>
        <row r="91">
          <cell r="A91">
            <v>88</v>
          </cell>
          <cell r="B91" t="str">
            <v xml:space="preserve">Biophilia I - qualitative </v>
          </cell>
          <cell r="C91" t="str">
            <v>Mind</v>
          </cell>
          <cell r="D91" t="str">
            <v>O</v>
          </cell>
          <cell r="E91" t="str">
            <v>P</v>
          </cell>
          <cell r="F91" t="str">
            <v>P</v>
          </cell>
        </row>
        <row r="92">
          <cell r="A92">
            <v>89</v>
          </cell>
          <cell r="B92" t="str">
            <v xml:space="preserve">Adaptable spaces </v>
          </cell>
          <cell r="C92" t="str">
            <v>Mind</v>
          </cell>
          <cell r="D92" t="str">
            <v>n/a</v>
          </cell>
          <cell r="E92" t="str">
            <v>O</v>
          </cell>
          <cell r="F92" t="str">
            <v>O</v>
          </cell>
        </row>
        <row r="93">
          <cell r="A93">
            <v>90</v>
          </cell>
          <cell r="B93" t="str">
            <v xml:space="preserve">Healthy sleep policy </v>
          </cell>
          <cell r="C93" t="str">
            <v>Mind</v>
          </cell>
          <cell r="D93" t="str">
            <v>n/a</v>
          </cell>
          <cell r="E93" t="str">
            <v>O</v>
          </cell>
          <cell r="F93" t="str">
            <v>O</v>
          </cell>
        </row>
        <row r="94">
          <cell r="A94">
            <v>91</v>
          </cell>
          <cell r="B94" t="str">
            <v xml:space="preserve">Business travel </v>
          </cell>
          <cell r="C94" t="str">
            <v>Mind</v>
          </cell>
          <cell r="D94" t="str">
            <v>n/a</v>
          </cell>
          <cell r="E94" t="str">
            <v>O</v>
          </cell>
          <cell r="F94" t="str">
            <v>O</v>
          </cell>
        </row>
        <row r="95">
          <cell r="A95">
            <v>92</v>
          </cell>
          <cell r="B95" t="str">
            <v xml:space="preserve">Building health policy </v>
          </cell>
          <cell r="C95" t="str">
            <v>Mind</v>
          </cell>
          <cell r="D95" t="str">
            <v>n/a</v>
          </cell>
          <cell r="E95" t="str">
            <v>O</v>
          </cell>
          <cell r="F95" t="str">
            <v>O</v>
          </cell>
        </row>
        <row r="96">
          <cell r="A96">
            <v>93</v>
          </cell>
          <cell r="B96" t="str">
            <v xml:space="preserve">Workplace family support </v>
          </cell>
          <cell r="C96" t="str">
            <v>Mind</v>
          </cell>
          <cell r="D96" t="str">
            <v>n/a</v>
          </cell>
          <cell r="E96" t="str">
            <v>O</v>
          </cell>
          <cell r="F96" t="str">
            <v>O</v>
          </cell>
        </row>
        <row r="97">
          <cell r="A97">
            <v>94</v>
          </cell>
          <cell r="B97" t="str">
            <v xml:space="preserve">Self-monitoring </v>
          </cell>
          <cell r="C97" t="str">
            <v>Mind</v>
          </cell>
          <cell r="D97" t="str">
            <v>n/a</v>
          </cell>
          <cell r="E97" t="str">
            <v>O</v>
          </cell>
          <cell r="F97" t="str">
            <v>O</v>
          </cell>
        </row>
        <row r="98">
          <cell r="A98">
            <v>95</v>
          </cell>
          <cell r="B98" t="str">
            <v xml:space="preserve">Stress and addiction treatment </v>
          </cell>
          <cell r="C98" t="str">
            <v>Mind</v>
          </cell>
          <cell r="D98" t="str">
            <v>n/a</v>
          </cell>
          <cell r="E98" t="str">
            <v>O</v>
          </cell>
          <cell r="F98" t="str">
            <v>O</v>
          </cell>
        </row>
        <row r="99">
          <cell r="A99">
            <v>96</v>
          </cell>
          <cell r="B99" t="str">
            <v xml:space="preserve">Altruism </v>
          </cell>
          <cell r="C99" t="str">
            <v>Mind</v>
          </cell>
          <cell r="D99" t="str">
            <v>n/a</v>
          </cell>
          <cell r="E99" t="str">
            <v>O</v>
          </cell>
          <cell r="F99" t="str">
            <v>O</v>
          </cell>
        </row>
        <row r="100">
          <cell r="A100">
            <v>97</v>
          </cell>
          <cell r="B100" t="str">
            <v xml:space="preserve">Material transparency </v>
          </cell>
          <cell r="C100" t="str">
            <v>Mind</v>
          </cell>
          <cell r="D100" t="str">
            <v>O</v>
          </cell>
          <cell r="E100" t="str">
            <v>O</v>
          </cell>
          <cell r="F100" t="str">
            <v>O</v>
          </cell>
        </row>
        <row r="101">
          <cell r="A101">
            <v>98</v>
          </cell>
          <cell r="B101" t="str">
            <v xml:space="preserve">Organizational transparency </v>
          </cell>
          <cell r="C101" t="str">
            <v>Mind</v>
          </cell>
          <cell r="D101" t="str">
            <v>n/a</v>
          </cell>
          <cell r="E101" t="str">
            <v>O</v>
          </cell>
          <cell r="F101" t="str">
            <v>O</v>
          </cell>
        </row>
        <row r="102">
          <cell r="A102">
            <v>99</v>
          </cell>
          <cell r="B102" t="str">
            <v xml:space="preserve">Beauty and design II </v>
          </cell>
          <cell r="C102" t="str">
            <v>Mind</v>
          </cell>
          <cell r="D102" t="str">
            <v>O</v>
          </cell>
          <cell r="E102" t="str">
            <v>O</v>
          </cell>
          <cell r="F102" t="str">
            <v>O</v>
          </cell>
        </row>
        <row r="103">
          <cell r="A103">
            <v>100</v>
          </cell>
          <cell r="B103" t="str">
            <v xml:space="preserve">Biophilia II - quantitative </v>
          </cell>
          <cell r="C103" t="str">
            <v>Mind</v>
          </cell>
          <cell r="D103" t="str">
            <v>O</v>
          </cell>
          <cell r="E103" t="str">
            <v>O</v>
          </cell>
          <cell r="F103" t="str">
            <v>O</v>
          </cell>
        </row>
        <row r="104">
          <cell r="A104">
            <v>101</v>
          </cell>
          <cell r="B104" t="str">
            <v xml:space="preserve">Innovation feature I </v>
          </cell>
          <cell r="C104" t="str">
            <v>Mind</v>
          </cell>
          <cell r="D104" t="str">
            <v>O</v>
          </cell>
          <cell r="E104" t="str">
            <v>O</v>
          </cell>
          <cell r="F104" t="str">
            <v>O</v>
          </cell>
        </row>
        <row r="105">
          <cell r="A105">
            <v>102</v>
          </cell>
          <cell r="B105" t="str">
            <v xml:space="preserve">Innovation feature II </v>
          </cell>
          <cell r="C105" t="str">
            <v>Mind</v>
          </cell>
          <cell r="D105" t="str">
            <v>O</v>
          </cell>
          <cell r="E105" t="str">
            <v>O</v>
          </cell>
          <cell r="F105" t="str">
            <v>O</v>
          </cell>
        </row>
        <row r="106">
          <cell r="A106">
            <v>103</v>
          </cell>
          <cell r="B106" t="str">
            <v>Innovation feature III</v>
          </cell>
          <cell r="C106" t="str">
            <v>Mind</v>
          </cell>
          <cell r="D106" t="str">
            <v>O</v>
          </cell>
          <cell r="E106" t="str">
            <v>O</v>
          </cell>
          <cell r="F106" t="str">
            <v>O</v>
          </cell>
        </row>
        <row r="107">
          <cell r="A107">
            <v>104</v>
          </cell>
          <cell r="B107" t="str">
            <v>Innovation feature IV</v>
          </cell>
          <cell r="C107" t="str">
            <v>Mind</v>
          </cell>
          <cell r="D107" t="str">
            <v>O</v>
          </cell>
          <cell r="E107" t="str">
            <v>O</v>
          </cell>
          <cell r="F107" t="str">
            <v>O</v>
          </cell>
        </row>
        <row r="108">
          <cell r="A108">
            <v>105</v>
          </cell>
          <cell r="B108" t="str">
            <v>Innovation feature V</v>
          </cell>
          <cell r="C108" t="str">
            <v>Mind</v>
          </cell>
          <cell r="D108" t="str">
            <v>O</v>
          </cell>
          <cell r="E108" t="str">
            <v>O</v>
          </cell>
          <cell r="F108" t="str">
            <v>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CB08-89E2-4841-A6A6-24A906717130}">
  <dimension ref="A1:BI453"/>
  <sheetViews>
    <sheetView tabSelected="1"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3">
      <c r="L1" s="21"/>
    </row>
    <row r="2" spans="1:61" hidden="1" x14ac:dyDescent="0.3">
      <c r="L2" s="21"/>
    </row>
    <row r="3" spans="1:61" hidden="1" x14ac:dyDescent="0.3">
      <c r="L3" s="21"/>
    </row>
    <row r="4" spans="1:61" hidden="1" x14ac:dyDescent="0.3">
      <c r="L4" s="21"/>
    </row>
    <row r="5" spans="1:61" ht="24.45" customHeight="1" x14ac:dyDescent="0.3">
      <c r="L5" s="21"/>
      <c r="M5" s="40">
        <v>202</v>
      </c>
      <c r="N5" s="27">
        <f>SUM(P5:X5)</f>
        <v>202</v>
      </c>
      <c r="O5" s="27" cm="1">
        <f t="array" ref="O5">SUM(P5:X5/N5*100)</f>
        <v>100.00000000000001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16</v>
      </c>
      <c r="U5" s="27">
        <f>SUM(J197:J204)</f>
        <v>26</v>
      </c>
      <c r="V5" s="27">
        <f>J228</f>
        <v>4</v>
      </c>
      <c r="W5" s="27">
        <f>SUM(J338:J340)</f>
        <v>15</v>
      </c>
      <c r="X5" s="27">
        <f>SUM(J363:J365)</f>
        <v>6</v>
      </c>
      <c r="Y5" s="29" t="s">
        <v>921</v>
      </c>
      <c r="AA5" s="39">
        <v>152</v>
      </c>
      <c r="AB5" s="37">
        <f>SUM(AD5:AM5)</f>
        <v>152</v>
      </c>
      <c r="AC5" s="37">
        <f>AB5/152*100</f>
        <v>100</v>
      </c>
      <c r="AD5" s="37">
        <f>SUM(J74:J79)</f>
        <v>30</v>
      </c>
      <c r="AE5" s="37">
        <f>SUM(J105:J108)</f>
        <v>14</v>
      </c>
      <c r="AF5" s="37">
        <f>SUM(J205:J207)</f>
        <v>11</v>
      </c>
      <c r="AG5" s="37">
        <f>SUM(J229:J231)</f>
        <v>13</v>
      </c>
      <c r="AH5" s="37">
        <f>SUM(J248:J250)</f>
        <v>10</v>
      </c>
      <c r="AI5" s="37">
        <f>SUM(J268:J271)</f>
        <v>15</v>
      </c>
      <c r="AJ5" s="37">
        <f>SUM(J290:J294)</f>
        <v>19</v>
      </c>
      <c r="AK5" s="37">
        <f>SUM(J315:J318)</f>
        <v>10</v>
      </c>
      <c r="AL5" s="37">
        <f>SUM(J341:J347)</f>
        <v>22</v>
      </c>
      <c r="AM5" s="37">
        <f>SUM(J366:J367)</f>
        <v>8</v>
      </c>
      <c r="AN5" s="34" t="s">
        <v>921</v>
      </c>
      <c r="AP5" s="45">
        <v>1056</v>
      </c>
      <c r="AQ5" s="46">
        <f>SUM(AS5:BI5)</f>
        <v>1056</v>
      </c>
      <c r="AR5" s="46">
        <f>AQ5/1056*100</f>
        <v>100</v>
      </c>
      <c r="AS5" s="46">
        <f>SUM(J45:J58)</f>
        <v>52</v>
      </c>
      <c r="AT5" s="46">
        <f>SUM(J80:J96)</f>
        <v>63</v>
      </c>
      <c r="AU5" s="46">
        <f>SUM(J109:J127)</f>
        <v>71</v>
      </c>
      <c r="AV5" s="46">
        <f>SUM(J146:J163)</f>
        <v>73</v>
      </c>
      <c r="AW5" s="46">
        <f>SUM(J172:J190)</f>
        <v>70</v>
      </c>
      <c r="AX5" s="46">
        <f>SUM(J208:J226)</f>
        <v>63</v>
      </c>
      <c r="AY5" s="46">
        <f>SUM(J232:J246)</f>
        <v>45</v>
      </c>
      <c r="AZ5" s="46">
        <f>SUM(J251:J266)</f>
        <v>58</v>
      </c>
      <c r="BA5" s="46">
        <f>SUM(J272:J288)</f>
        <v>68</v>
      </c>
      <c r="BB5" s="46">
        <f>SUM(J295:J313)</f>
        <v>73</v>
      </c>
      <c r="BC5" s="46">
        <f>SUM(J319:J335)</f>
        <v>62</v>
      </c>
      <c r="BD5" s="46">
        <f>SUM(J348:J361)</f>
        <v>52</v>
      </c>
      <c r="BE5" s="46">
        <f>SUM(J368:J378)</f>
        <v>38</v>
      </c>
      <c r="BF5" s="46">
        <f>SUM(J379:J399)</f>
        <v>79</v>
      </c>
      <c r="BG5" s="46">
        <f>SUM(J400:J418)</f>
        <v>70</v>
      </c>
      <c r="BH5" s="46">
        <f>SUM(J419:J433)</f>
        <v>52</v>
      </c>
      <c r="BI5" s="46">
        <f>SUM(J434:J453)</f>
        <v>67</v>
      </c>
    </row>
    <row r="6" spans="1:61" ht="143.4" customHeight="1" x14ac:dyDescent="0.3"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1410</v>
      </c>
      <c r="T11" s="83"/>
      <c r="U11" s="84"/>
      <c r="V11" s="50"/>
      <c r="W11" s="82">
        <f>(AR5+AC5+O5)/3</f>
        <v>100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6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 s="85" t="s">
        <v>950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AA13" s="87" t="s">
        <v>951</v>
      </c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9"/>
      <c r="AP13" s="90" t="s">
        <v>952</v>
      </c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2"/>
      <c r="BD13" s="93"/>
      <c r="BE13" s="93"/>
      <c r="BF13" s="93"/>
      <c r="BG13" s="93"/>
      <c r="BH13" s="93"/>
      <c r="BI13" s="9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>
        <f>J14/202*100</f>
        <v>2.4752475247524752</v>
      </c>
      <c r="L14"/>
      <c r="M14"/>
      <c r="N14" s="52" t="s">
        <v>937</v>
      </c>
      <c r="O14" s="52" t="s">
        <v>938</v>
      </c>
      <c r="P14" s="94" t="s">
        <v>944</v>
      </c>
      <c r="Q14" s="95"/>
      <c r="R14" s="95"/>
      <c r="S14" s="95"/>
      <c r="T14" s="95"/>
      <c r="U14" s="95"/>
      <c r="V14" s="95"/>
      <c r="W14" s="95"/>
      <c r="X14" s="95"/>
      <c r="Y14" s="96"/>
      <c r="AB14" s="54" t="s">
        <v>937</v>
      </c>
      <c r="AC14" s="54" t="s">
        <v>938</v>
      </c>
      <c r="AD14" s="97" t="s">
        <v>944</v>
      </c>
      <c r="AE14" s="98"/>
      <c r="AF14" s="98"/>
      <c r="AG14" s="98"/>
      <c r="AH14" s="98"/>
      <c r="AI14" s="98"/>
      <c r="AJ14" s="98"/>
      <c r="AK14" s="98"/>
      <c r="AL14" s="98"/>
      <c r="AM14" s="99"/>
      <c r="AQ14" s="56" t="s">
        <v>937</v>
      </c>
      <c r="AR14" s="56" t="s">
        <v>938</v>
      </c>
      <c r="AS14" s="106" t="s">
        <v>944</v>
      </c>
      <c r="AT14" s="107"/>
      <c r="AU14" s="107"/>
      <c r="AV14" s="107"/>
      <c r="AW14" s="107"/>
      <c r="AX14" s="107"/>
      <c r="AY14" s="107"/>
      <c r="AZ14" s="107"/>
      <c r="BA14" s="107"/>
      <c r="BB14" s="108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>
        <f>J15/202*100</f>
        <v>1.4851485148514851</v>
      </c>
      <c r="L15"/>
      <c r="M15"/>
      <c r="N15" s="61">
        <v>202</v>
      </c>
      <c r="O15" s="53">
        <v>100</v>
      </c>
      <c r="P15" s="115" t="s">
        <v>945</v>
      </c>
      <c r="Q15" s="116"/>
      <c r="R15" s="116"/>
      <c r="S15" s="116"/>
      <c r="T15" s="116"/>
      <c r="U15" s="116"/>
      <c r="V15" s="116"/>
      <c r="W15" s="116"/>
      <c r="X15" s="116"/>
      <c r="Y15" s="117"/>
      <c r="AB15" s="55">
        <v>152</v>
      </c>
      <c r="AC15" s="55">
        <v>100</v>
      </c>
      <c r="AD15" s="100" t="s">
        <v>945</v>
      </c>
      <c r="AE15" s="101"/>
      <c r="AF15" s="101"/>
      <c r="AG15" s="101"/>
      <c r="AH15" s="101"/>
      <c r="AI15" s="101"/>
      <c r="AJ15" s="101"/>
      <c r="AK15" s="101"/>
      <c r="AL15" s="101"/>
      <c r="AM15" s="102"/>
      <c r="AQ15" s="57">
        <v>1056</v>
      </c>
      <c r="AR15" s="57">
        <v>100</v>
      </c>
      <c r="AS15" s="109" t="s">
        <v>945</v>
      </c>
      <c r="AT15" s="110"/>
      <c r="AU15" s="110"/>
      <c r="AV15" s="110"/>
      <c r="AW15" s="110"/>
      <c r="AX15" s="110"/>
      <c r="AY15" s="110"/>
      <c r="AZ15" s="110"/>
      <c r="BA15" s="110"/>
      <c r="BB15" s="111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>
        <f t="shared" ref="K16:K44" si="0">J16/202*100</f>
        <v>1.4851485148514851</v>
      </c>
      <c r="L16"/>
      <c r="M16"/>
      <c r="N16" s="61">
        <f>O16*2.02</f>
        <v>161.6</v>
      </c>
      <c r="O16" s="53">
        <v>80</v>
      </c>
      <c r="P16" s="118"/>
      <c r="Q16" s="119"/>
      <c r="R16" s="119"/>
      <c r="S16" s="119"/>
      <c r="T16" s="119"/>
      <c r="U16" s="119"/>
      <c r="V16" s="119"/>
      <c r="W16" s="119"/>
      <c r="X16" s="119"/>
      <c r="Y16" s="120"/>
      <c r="AB16" s="62">
        <f>AC16*1.52</f>
        <v>121.6</v>
      </c>
      <c r="AC16" s="55">
        <v>80</v>
      </c>
      <c r="AD16" s="103"/>
      <c r="AE16" s="104"/>
      <c r="AF16" s="104"/>
      <c r="AG16" s="104"/>
      <c r="AH16" s="104"/>
      <c r="AI16" s="104"/>
      <c r="AJ16" s="104"/>
      <c r="AK16" s="104"/>
      <c r="AL16" s="104"/>
      <c r="AM16" s="105"/>
      <c r="AQ16" s="63">
        <f>AR16*10.56</f>
        <v>844.80000000000007</v>
      </c>
      <c r="AR16" s="57">
        <v>80</v>
      </c>
      <c r="AS16" s="112"/>
      <c r="AT16" s="113"/>
      <c r="AU16" s="113"/>
      <c r="AV16" s="113"/>
      <c r="AW16" s="113"/>
      <c r="AX16" s="113"/>
      <c r="AY16" s="113"/>
      <c r="AZ16" s="113"/>
      <c r="BA16" s="113"/>
      <c r="BB16" s="114"/>
    </row>
    <row r="17" spans="1:54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>
        <f t="shared" si="0"/>
        <v>1.4851485148514851</v>
      </c>
      <c r="L17"/>
      <c r="M17"/>
      <c r="N17" s="61">
        <f t="shared" ref="N17:N22" si="1">O17*2.02</f>
        <v>159.58000000000001</v>
      </c>
      <c r="O17" s="53">
        <v>79</v>
      </c>
      <c r="P17" s="115" t="s">
        <v>946</v>
      </c>
      <c r="Q17" s="116"/>
      <c r="R17" s="116"/>
      <c r="S17" s="116"/>
      <c r="T17" s="116"/>
      <c r="U17" s="116"/>
      <c r="V17" s="116"/>
      <c r="W17" s="116"/>
      <c r="X17" s="116"/>
      <c r="Y17" s="117"/>
      <c r="AB17" s="62">
        <f t="shared" ref="AB17:AB22" si="2">AC17*1.52</f>
        <v>120.08</v>
      </c>
      <c r="AC17" s="55">
        <v>79</v>
      </c>
      <c r="AD17" s="100" t="s">
        <v>946</v>
      </c>
      <c r="AE17" s="101"/>
      <c r="AF17" s="101"/>
      <c r="AG17" s="101"/>
      <c r="AH17" s="101"/>
      <c r="AI17" s="101"/>
      <c r="AJ17" s="101"/>
      <c r="AK17" s="101"/>
      <c r="AL17" s="101"/>
      <c r="AM17" s="102"/>
      <c r="AQ17" s="63">
        <f t="shared" ref="AQ17:AQ22" si="3">AR17*10.56</f>
        <v>834.24</v>
      </c>
      <c r="AR17" s="57">
        <v>79</v>
      </c>
      <c r="AS17" s="109" t="s">
        <v>946</v>
      </c>
      <c r="AT17" s="110"/>
      <c r="AU17" s="110"/>
      <c r="AV17" s="110"/>
      <c r="AW17" s="110"/>
      <c r="AX17" s="110"/>
      <c r="AY17" s="110"/>
      <c r="AZ17" s="110"/>
      <c r="BA17" s="110"/>
      <c r="BB17" s="111"/>
    </row>
    <row r="18" spans="1:54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>
        <f t="shared" si="0"/>
        <v>0.99009900990099009</v>
      </c>
      <c r="L18"/>
      <c r="M18"/>
      <c r="N18" s="61">
        <f t="shared" si="1"/>
        <v>121.2</v>
      </c>
      <c r="O18" s="53">
        <v>60</v>
      </c>
      <c r="P18" s="118"/>
      <c r="Q18" s="119"/>
      <c r="R18" s="119"/>
      <c r="S18" s="119"/>
      <c r="T18" s="119"/>
      <c r="U18" s="119"/>
      <c r="V18" s="119"/>
      <c r="W18" s="119"/>
      <c r="X18" s="119"/>
      <c r="Y18" s="120"/>
      <c r="AB18" s="62">
        <f t="shared" si="2"/>
        <v>91.2</v>
      </c>
      <c r="AC18" s="55">
        <v>60</v>
      </c>
      <c r="AD18" s="103"/>
      <c r="AE18" s="104"/>
      <c r="AF18" s="104"/>
      <c r="AG18" s="104"/>
      <c r="AH18" s="104"/>
      <c r="AI18" s="104"/>
      <c r="AJ18" s="104"/>
      <c r="AK18" s="104"/>
      <c r="AL18" s="104"/>
      <c r="AM18" s="105"/>
      <c r="AQ18" s="63">
        <f t="shared" si="3"/>
        <v>633.6</v>
      </c>
      <c r="AR18" s="57">
        <v>60</v>
      </c>
      <c r="AS18" s="112"/>
      <c r="AT18" s="113"/>
      <c r="AU18" s="113"/>
      <c r="AV18" s="113"/>
      <c r="AW18" s="113"/>
      <c r="AX18" s="113"/>
      <c r="AY18" s="113"/>
      <c r="AZ18" s="113"/>
      <c r="BA18" s="113"/>
      <c r="BB18" s="114"/>
    </row>
    <row r="19" spans="1:54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>
        <f t="shared" si="0"/>
        <v>0.99009900990099009</v>
      </c>
      <c r="L19"/>
      <c r="M19"/>
      <c r="N19" s="61">
        <f t="shared" si="1"/>
        <v>119.18</v>
      </c>
      <c r="O19" s="53">
        <v>59</v>
      </c>
      <c r="P19" s="115" t="s">
        <v>947</v>
      </c>
      <c r="Q19" s="116"/>
      <c r="R19" s="116"/>
      <c r="S19" s="116"/>
      <c r="T19" s="116"/>
      <c r="U19" s="116"/>
      <c r="V19" s="116"/>
      <c r="W19" s="116"/>
      <c r="X19" s="116"/>
      <c r="Y19" s="117"/>
      <c r="AB19" s="62">
        <f t="shared" si="2"/>
        <v>89.68</v>
      </c>
      <c r="AC19" s="55">
        <v>59</v>
      </c>
      <c r="AD19" s="100" t="s">
        <v>947</v>
      </c>
      <c r="AE19" s="101"/>
      <c r="AF19" s="101"/>
      <c r="AG19" s="101"/>
      <c r="AH19" s="101"/>
      <c r="AI19" s="101"/>
      <c r="AJ19" s="101"/>
      <c r="AK19" s="101"/>
      <c r="AL19" s="101"/>
      <c r="AM19" s="102"/>
      <c r="AQ19" s="63">
        <f t="shared" si="3"/>
        <v>623.04000000000008</v>
      </c>
      <c r="AR19" s="57">
        <v>59</v>
      </c>
      <c r="AS19" s="109" t="s">
        <v>947</v>
      </c>
      <c r="AT19" s="110"/>
      <c r="AU19" s="110"/>
      <c r="AV19" s="110"/>
      <c r="AW19" s="110"/>
      <c r="AX19" s="110"/>
      <c r="AY19" s="110"/>
      <c r="AZ19" s="110"/>
      <c r="BA19" s="110"/>
      <c r="BB19" s="111"/>
    </row>
    <row r="20" spans="1:54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>
        <f t="shared" si="0"/>
        <v>0.99009900990099009</v>
      </c>
      <c r="L20"/>
      <c r="M20" s="58"/>
      <c r="N20" s="61">
        <f t="shared" si="1"/>
        <v>101</v>
      </c>
      <c r="O20" s="53">
        <v>50</v>
      </c>
      <c r="P20" s="118"/>
      <c r="Q20" s="119"/>
      <c r="R20" s="119"/>
      <c r="S20" s="119"/>
      <c r="T20" s="119"/>
      <c r="U20" s="119"/>
      <c r="V20" s="119"/>
      <c r="W20" s="119"/>
      <c r="X20" s="119"/>
      <c r="Y20" s="120"/>
      <c r="AA20" s="58"/>
      <c r="AB20" s="62">
        <f t="shared" si="2"/>
        <v>76</v>
      </c>
      <c r="AC20" s="55">
        <v>50</v>
      </c>
      <c r="AD20" s="103"/>
      <c r="AE20" s="104"/>
      <c r="AF20" s="104"/>
      <c r="AG20" s="104"/>
      <c r="AH20" s="104"/>
      <c r="AI20" s="104"/>
      <c r="AJ20" s="104"/>
      <c r="AK20" s="104"/>
      <c r="AL20" s="104"/>
      <c r="AM20" s="105"/>
      <c r="AP20" s="58"/>
      <c r="AQ20" s="63">
        <f t="shared" si="3"/>
        <v>528</v>
      </c>
      <c r="AR20" s="57">
        <v>50</v>
      </c>
      <c r="AS20" s="112"/>
      <c r="AT20" s="113"/>
      <c r="AU20" s="113"/>
      <c r="AV20" s="113"/>
      <c r="AW20" s="113"/>
      <c r="AX20" s="113"/>
      <c r="AY20" s="113"/>
      <c r="AZ20" s="113"/>
      <c r="BA20" s="113"/>
      <c r="BB20" s="114"/>
    </row>
    <row r="21" spans="1:54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>
        <f t="shared" si="0"/>
        <v>0.99009900990099009</v>
      </c>
      <c r="L21"/>
      <c r="M21" s="58"/>
      <c r="N21" s="61">
        <f t="shared" si="1"/>
        <v>98.98</v>
      </c>
      <c r="O21" s="53">
        <v>49</v>
      </c>
      <c r="P21" s="115" t="s">
        <v>948</v>
      </c>
      <c r="Q21" s="116"/>
      <c r="R21" s="116"/>
      <c r="S21" s="116"/>
      <c r="T21" s="116"/>
      <c r="U21" s="116"/>
      <c r="V21" s="116"/>
      <c r="W21" s="116"/>
      <c r="X21" s="116"/>
      <c r="Y21" s="117"/>
      <c r="AA21" s="58"/>
      <c r="AB21" s="62">
        <f t="shared" si="2"/>
        <v>74.48</v>
      </c>
      <c r="AC21" s="55">
        <v>49</v>
      </c>
      <c r="AD21" s="100" t="s">
        <v>948</v>
      </c>
      <c r="AE21" s="101"/>
      <c r="AF21" s="101"/>
      <c r="AG21" s="101"/>
      <c r="AH21" s="101"/>
      <c r="AI21" s="101"/>
      <c r="AJ21" s="101"/>
      <c r="AK21" s="101"/>
      <c r="AL21" s="101"/>
      <c r="AM21" s="102"/>
      <c r="AP21" s="58"/>
      <c r="AQ21" s="63">
        <f t="shared" si="3"/>
        <v>517.44000000000005</v>
      </c>
      <c r="AR21" s="57">
        <v>49</v>
      </c>
      <c r="AS21" s="109" t="s">
        <v>948</v>
      </c>
      <c r="AT21" s="110"/>
      <c r="AU21" s="110"/>
      <c r="AV21" s="110"/>
      <c r="AW21" s="110"/>
      <c r="AX21" s="110"/>
      <c r="AY21" s="110"/>
      <c r="AZ21" s="110"/>
      <c r="BA21" s="110"/>
      <c r="BB21" s="111"/>
    </row>
    <row r="22" spans="1:54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>
        <f t="shared" si="0"/>
        <v>0.99009900990099009</v>
      </c>
      <c r="L22"/>
      <c r="M22" s="58"/>
      <c r="N22" s="61">
        <f t="shared" si="1"/>
        <v>80.8</v>
      </c>
      <c r="O22" s="53">
        <v>40</v>
      </c>
      <c r="P22" s="118"/>
      <c r="Q22" s="119"/>
      <c r="R22" s="119"/>
      <c r="S22" s="119"/>
      <c r="T22" s="119"/>
      <c r="U22" s="119"/>
      <c r="V22" s="119"/>
      <c r="W22" s="119"/>
      <c r="X22" s="119"/>
      <c r="Y22" s="120"/>
      <c r="AA22" s="58"/>
      <c r="AB22" s="62">
        <f t="shared" si="2"/>
        <v>60.8</v>
      </c>
      <c r="AC22" s="55">
        <v>40</v>
      </c>
      <c r="AD22" s="103"/>
      <c r="AE22" s="104"/>
      <c r="AF22" s="104"/>
      <c r="AG22" s="104"/>
      <c r="AH22" s="104"/>
      <c r="AI22" s="104"/>
      <c r="AJ22" s="104"/>
      <c r="AK22" s="104"/>
      <c r="AL22" s="104"/>
      <c r="AM22" s="105"/>
      <c r="AP22" s="58"/>
      <c r="AQ22" s="63">
        <f t="shared" si="3"/>
        <v>422.40000000000003</v>
      </c>
      <c r="AR22" s="57">
        <v>40</v>
      </c>
      <c r="AS22" s="112"/>
      <c r="AT22" s="113"/>
      <c r="AU22" s="113"/>
      <c r="AV22" s="113"/>
      <c r="AW22" s="113"/>
      <c r="AX22" s="113"/>
      <c r="AY22" s="113"/>
      <c r="AZ22" s="113"/>
      <c r="BA22" s="113"/>
      <c r="BB22" s="114"/>
    </row>
    <row r="23" spans="1:54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>
        <f t="shared" si="0"/>
        <v>0.99009900990099009</v>
      </c>
      <c r="L23"/>
      <c r="M23" s="58"/>
      <c r="N23" s="58"/>
      <c r="O23" s="58"/>
      <c r="P23"/>
      <c r="Q23"/>
      <c r="R23"/>
      <c r="AA23" s="58"/>
      <c r="AB23" s="59"/>
      <c r="AC23" s="59"/>
      <c r="AP23" s="58"/>
      <c r="AQ23" s="59"/>
      <c r="AR23" s="59"/>
    </row>
    <row r="24" spans="1:54" s="2" customFormat="1" ht="41.4" x14ac:dyDescent="0.6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>
        <f t="shared" si="0"/>
        <v>0.99009900990099009</v>
      </c>
      <c r="L24"/>
      <c r="M24" s="127" t="s">
        <v>949</v>
      </c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AA24" s="58"/>
      <c r="AB24" s="59"/>
      <c r="AC24" s="59"/>
      <c r="AP24" s="58"/>
      <c r="AQ24" s="59"/>
      <c r="AR24" s="59"/>
    </row>
    <row r="25" spans="1:54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>
        <f t="shared" si="0"/>
        <v>0.99009900990099009</v>
      </c>
      <c r="L25"/>
      <c r="M25"/>
      <c r="N25" s="64" t="s">
        <v>937</v>
      </c>
      <c r="O25" s="64" t="s">
        <v>938</v>
      </c>
      <c r="P25" s="129" t="s">
        <v>944</v>
      </c>
      <c r="Q25" s="130"/>
      <c r="R25" s="130"/>
      <c r="S25" s="130"/>
      <c r="T25" s="130"/>
      <c r="U25" s="130"/>
      <c r="V25" s="130"/>
      <c r="W25" s="130"/>
      <c r="X25" s="130"/>
      <c r="Y25" s="131"/>
      <c r="AA25" s="58"/>
      <c r="AB25" s="59"/>
      <c r="AC25" s="59"/>
      <c r="AP25" s="58"/>
      <c r="AQ25" s="59"/>
      <c r="AR25" s="59"/>
    </row>
    <row r="26" spans="1:54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>
        <f t="shared" si="0"/>
        <v>0.99009900990099009</v>
      </c>
      <c r="L26"/>
      <c r="M26"/>
      <c r="N26" s="65">
        <v>1410</v>
      </c>
      <c r="O26" s="66">
        <v>100</v>
      </c>
      <c r="P26" s="121" t="s">
        <v>945</v>
      </c>
      <c r="Q26" s="122"/>
      <c r="R26" s="122"/>
      <c r="S26" s="122"/>
      <c r="T26" s="122"/>
      <c r="U26" s="122"/>
      <c r="V26" s="122"/>
      <c r="W26" s="122"/>
      <c r="X26" s="122"/>
      <c r="Y26" s="123"/>
      <c r="AA26" s="58"/>
      <c r="AB26" s="59"/>
      <c r="AC26" s="59"/>
      <c r="AP26" s="58"/>
      <c r="AQ26" s="59"/>
      <c r="AR26" s="59"/>
    </row>
    <row r="27" spans="1:54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>
        <f t="shared" si="0"/>
        <v>0.99009900990099009</v>
      </c>
      <c r="L27"/>
      <c r="M27"/>
      <c r="N27" s="65">
        <f>O27*14.1</f>
        <v>1128</v>
      </c>
      <c r="O27" s="66">
        <v>80</v>
      </c>
      <c r="P27" s="124"/>
      <c r="Q27" s="125"/>
      <c r="R27" s="125"/>
      <c r="S27" s="125"/>
      <c r="T27" s="125"/>
      <c r="U27" s="125"/>
      <c r="V27" s="125"/>
      <c r="W27" s="125"/>
      <c r="X27" s="125"/>
      <c r="Y27" s="126"/>
      <c r="AA27" s="58"/>
      <c r="AB27" s="59"/>
      <c r="AC27" s="59"/>
      <c r="AP27" s="58"/>
      <c r="AQ27" s="59"/>
      <c r="AR27" s="59"/>
    </row>
    <row r="28" spans="1:54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>
        <f t="shared" si="0"/>
        <v>0.99009900990099009</v>
      </c>
      <c r="L28"/>
      <c r="M28"/>
      <c r="N28" s="65">
        <f t="shared" ref="N28:N33" si="4">O28*14.1</f>
        <v>1113.8999999999999</v>
      </c>
      <c r="O28" s="66">
        <v>79</v>
      </c>
      <c r="P28" s="121" t="s">
        <v>946</v>
      </c>
      <c r="Q28" s="122"/>
      <c r="R28" s="122"/>
      <c r="S28" s="122"/>
      <c r="T28" s="122"/>
      <c r="U28" s="122"/>
      <c r="V28" s="122"/>
      <c r="W28" s="122"/>
      <c r="X28" s="122"/>
      <c r="Y28" s="123"/>
      <c r="AA28" s="58"/>
      <c r="AB28" s="58"/>
      <c r="AC28" s="58"/>
      <c r="AP28" s="58"/>
      <c r="AQ28" s="58"/>
      <c r="AR28" s="58"/>
    </row>
    <row r="29" spans="1:54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>
        <f t="shared" si="0"/>
        <v>0.99009900990099009</v>
      </c>
      <c r="L29"/>
      <c r="M29"/>
      <c r="N29" s="65">
        <f t="shared" si="4"/>
        <v>846</v>
      </c>
      <c r="O29" s="66">
        <v>60</v>
      </c>
      <c r="P29" s="124"/>
      <c r="Q29" s="125"/>
      <c r="R29" s="125"/>
      <c r="S29" s="125"/>
      <c r="T29" s="125"/>
      <c r="U29" s="125"/>
      <c r="V29" s="125"/>
      <c r="W29" s="125"/>
      <c r="X29" s="125"/>
      <c r="Y29" s="126"/>
      <c r="AA29" s="58"/>
      <c r="AB29" s="58"/>
      <c r="AC29" s="58"/>
      <c r="AP29" s="58"/>
      <c r="AQ29" s="58"/>
      <c r="AR29" s="58"/>
    </row>
    <row r="30" spans="1:54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>
        <f t="shared" si="0"/>
        <v>0.49504950495049505</v>
      </c>
      <c r="L30"/>
      <c r="M30"/>
      <c r="N30" s="65">
        <f t="shared" si="4"/>
        <v>831.9</v>
      </c>
      <c r="O30" s="66">
        <v>59</v>
      </c>
      <c r="P30" s="121" t="s">
        <v>947</v>
      </c>
      <c r="Q30" s="122"/>
      <c r="R30" s="122"/>
      <c r="S30" s="122"/>
      <c r="T30" s="122"/>
      <c r="U30" s="122"/>
      <c r="V30" s="122"/>
      <c r="W30" s="122"/>
      <c r="X30" s="122"/>
      <c r="Y30" s="123"/>
      <c r="AA30" s="58"/>
      <c r="AB30" s="58"/>
      <c r="AC30" s="58"/>
      <c r="AP30" s="58"/>
      <c r="AQ30" s="58"/>
      <c r="AR30" s="58"/>
    </row>
    <row r="31" spans="1:54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>
        <f t="shared" si="0"/>
        <v>0.49504950495049505</v>
      </c>
      <c r="L31"/>
      <c r="M31" s="58"/>
      <c r="N31" s="65">
        <f t="shared" si="4"/>
        <v>705</v>
      </c>
      <c r="O31" s="66">
        <v>50</v>
      </c>
      <c r="P31" s="124"/>
      <c r="Q31" s="125"/>
      <c r="R31" s="125"/>
      <c r="S31" s="125"/>
      <c r="T31" s="125"/>
      <c r="U31" s="125"/>
      <c r="V31" s="125"/>
      <c r="W31" s="125"/>
      <c r="X31" s="125"/>
      <c r="Y31" s="126"/>
      <c r="AA31" s="58"/>
      <c r="AB31" s="58"/>
      <c r="AC31" s="58"/>
      <c r="AP31" s="58"/>
      <c r="AQ31" s="58"/>
      <c r="AR31" s="58"/>
    </row>
    <row r="32" spans="1:54" s="2" customFormat="1" ht="30.6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>
        <f t="shared" si="0"/>
        <v>0.49504950495049505</v>
      </c>
      <c r="L32"/>
      <c r="M32" s="58"/>
      <c r="N32" s="65">
        <f t="shared" si="4"/>
        <v>690.9</v>
      </c>
      <c r="O32" s="66">
        <v>49</v>
      </c>
      <c r="P32" s="121" t="s">
        <v>948</v>
      </c>
      <c r="Q32" s="122"/>
      <c r="R32" s="122"/>
      <c r="S32" s="122"/>
      <c r="T32" s="122"/>
      <c r="U32" s="122"/>
      <c r="V32" s="122"/>
      <c r="W32" s="122"/>
      <c r="X32" s="122"/>
      <c r="Y32" s="123"/>
      <c r="AA32" s="58"/>
      <c r="AB32" s="58"/>
      <c r="AC32" s="58"/>
      <c r="AP32" s="58"/>
      <c r="AQ32" s="58"/>
      <c r="AR32" s="58"/>
    </row>
    <row r="33" spans="1:44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>
        <f t="shared" si="0"/>
        <v>0.49504950495049505</v>
      </c>
      <c r="L33"/>
      <c r="M33" s="58"/>
      <c r="N33" s="65">
        <f t="shared" si="4"/>
        <v>564</v>
      </c>
      <c r="O33" s="66">
        <v>40</v>
      </c>
      <c r="P33" s="124"/>
      <c r="Q33" s="125"/>
      <c r="R33" s="125"/>
      <c r="S33" s="125"/>
      <c r="T33" s="125"/>
      <c r="U33" s="125"/>
      <c r="V33" s="125"/>
      <c r="W33" s="125"/>
      <c r="X33" s="125"/>
      <c r="Y33" s="126"/>
      <c r="AA33" s="58"/>
      <c r="AB33" s="58"/>
      <c r="AC33" s="58"/>
      <c r="AP33" s="58"/>
      <c r="AQ33" s="58"/>
      <c r="AR33" s="58"/>
    </row>
    <row r="34" spans="1:44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>
        <f t="shared" si="0"/>
        <v>0.49504950495049505</v>
      </c>
      <c r="L34"/>
      <c r="M34" s="58"/>
      <c r="N34" s="58"/>
      <c r="O34" s="58"/>
      <c r="P34"/>
      <c r="Q34"/>
      <c r="R34"/>
      <c r="AA34" s="58"/>
      <c r="AB34" s="58"/>
      <c r="AC34" s="58"/>
      <c r="AP34" s="58"/>
      <c r="AQ34" s="58"/>
    </row>
    <row r="35" spans="1:44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>
        <f t="shared" si="0"/>
        <v>0.49504950495049505</v>
      </c>
      <c r="L35"/>
      <c r="M35" s="58"/>
      <c r="N35" s="60"/>
      <c r="O35" s="59"/>
      <c r="P35"/>
      <c r="Q35"/>
      <c r="R35"/>
      <c r="AA35" s="58"/>
      <c r="AB35" s="60"/>
      <c r="AC35" s="59"/>
      <c r="AP35" s="58"/>
      <c r="AQ35" s="60"/>
    </row>
    <row r="36" spans="1:44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>
        <f t="shared" si="0"/>
        <v>0.49504950495049505</v>
      </c>
      <c r="L36"/>
      <c r="M36" s="58"/>
      <c r="N36" s="60"/>
      <c r="O36" s="59"/>
      <c r="P36"/>
      <c r="Q36"/>
      <c r="R36"/>
      <c r="S36" s="2"/>
      <c r="T36" s="2"/>
      <c r="U36" s="2"/>
      <c r="V36" s="2"/>
      <c r="W36" s="2"/>
      <c r="X36" s="2"/>
      <c r="Y36" s="2"/>
      <c r="Z36" s="2"/>
      <c r="AA36" s="58"/>
      <c r="AB36" s="60"/>
      <c r="AC36" s="5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58"/>
      <c r="AQ36" s="60"/>
    </row>
    <row r="37" spans="1:44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>
        <f t="shared" si="0"/>
        <v>0.49504950495049505</v>
      </c>
      <c r="L37"/>
      <c r="M37" s="58"/>
      <c r="N37" s="60"/>
      <c r="O37" s="59"/>
      <c r="P37"/>
      <c r="Q37"/>
      <c r="R37"/>
      <c r="S37" s="2"/>
      <c r="T37" s="2"/>
      <c r="U37" s="2"/>
      <c r="V37" s="2"/>
      <c r="W37" s="2"/>
      <c r="X37" s="2"/>
      <c r="Y37" s="2"/>
      <c r="Z37" s="2"/>
      <c r="AA37" s="58"/>
      <c r="AB37" s="60"/>
      <c r="AC37" s="5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58"/>
      <c r="AQ37" s="60"/>
    </row>
    <row r="38" spans="1:44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>
        <f t="shared" si="0"/>
        <v>0.49504950495049505</v>
      </c>
      <c r="L38"/>
      <c r="M38" s="58"/>
      <c r="N38" s="60"/>
      <c r="O38" s="59"/>
      <c r="P38"/>
      <c r="Q38"/>
      <c r="R38"/>
      <c r="S38" s="2"/>
      <c r="T38" s="2"/>
      <c r="U38" s="2"/>
      <c r="V38" s="2"/>
      <c r="W38" s="2"/>
      <c r="X38" s="2"/>
      <c r="Y38" s="2"/>
      <c r="Z38" s="2"/>
      <c r="AA38" s="58"/>
      <c r="AB38" s="60"/>
      <c r="AC38" s="5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58"/>
      <c r="AQ38" s="60"/>
    </row>
    <row r="39" spans="1:44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>
        <f t="shared" si="0"/>
        <v>0.49504950495049505</v>
      </c>
      <c r="L39"/>
      <c r="M39" s="58"/>
      <c r="N39" s="60"/>
      <c r="O39" s="59"/>
      <c r="P39"/>
      <c r="Q39"/>
      <c r="R39"/>
      <c r="S39" s="2"/>
      <c r="T39" s="2"/>
      <c r="U39" s="2"/>
      <c r="V39" s="2"/>
      <c r="W39" s="2"/>
      <c r="X39" s="2"/>
      <c r="Y39" s="2"/>
      <c r="Z39" s="2"/>
      <c r="AA39" s="58"/>
      <c r="AB39" s="60"/>
      <c r="AC39" s="5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58"/>
      <c r="AQ39" s="60"/>
    </row>
    <row r="40" spans="1:44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>
        <f t="shared" si="0"/>
        <v>0.49504950495049505</v>
      </c>
      <c r="L40"/>
      <c r="M40" s="58"/>
      <c r="N40" s="60"/>
      <c r="O40" s="59"/>
      <c r="P40"/>
      <c r="Q40"/>
      <c r="R40"/>
      <c r="S40" s="2"/>
      <c r="T40" s="2"/>
      <c r="U40" s="2"/>
      <c r="V40" s="2"/>
      <c r="W40" s="2"/>
      <c r="X40" s="2"/>
      <c r="Y40" s="2"/>
      <c r="Z40" s="2"/>
      <c r="AA40" s="58"/>
      <c r="AB40" s="60"/>
      <c r="AC40" s="5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58"/>
      <c r="AQ40" s="60"/>
    </row>
    <row r="41" spans="1:44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>
        <f t="shared" si="0"/>
        <v>0.49504950495049505</v>
      </c>
      <c r="L41"/>
      <c r="M41" s="58"/>
      <c r="N41" s="60"/>
      <c r="O41" s="59"/>
      <c r="P41"/>
      <c r="Q41"/>
      <c r="R41"/>
      <c r="S41" s="2"/>
      <c r="T41" s="2"/>
      <c r="U41" s="2"/>
      <c r="V41" s="2"/>
      <c r="W41" s="2"/>
      <c r="X41" s="2"/>
      <c r="Y41" s="2"/>
      <c r="Z41" s="2"/>
      <c r="AA41" s="58"/>
      <c r="AB41" s="60"/>
      <c r="AC41" s="5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58"/>
      <c r="AQ41" s="60"/>
    </row>
    <row r="42" spans="1:44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>
        <f t="shared" si="0"/>
        <v>0.49504950495049505</v>
      </c>
      <c r="L42"/>
      <c r="M42"/>
      <c r="N42"/>
      <c r="O42"/>
      <c r="P42"/>
      <c r="Q42"/>
      <c r="R42"/>
    </row>
    <row r="43" spans="1:44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>
        <f t="shared" si="0"/>
        <v>0.49504950495049505</v>
      </c>
      <c r="L43"/>
      <c r="M43" s="58"/>
      <c r="N43" s="58"/>
      <c r="O43"/>
      <c r="P43"/>
      <c r="Q43"/>
      <c r="R43"/>
    </row>
    <row r="44" spans="1:44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>
        <f t="shared" si="0"/>
        <v>0.49504950495049505</v>
      </c>
      <c r="L44"/>
      <c r="M44" s="58"/>
      <c r="N44" s="58"/>
      <c r="O44"/>
      <c r="P44"/>
      <c r="Q44"/>
      <c r="R44"/>
    </row>
    <row r="45" spans="1:44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>
        <v>5</v>
      </c>
      <c r="K45" s="11">
        <f>J45/1056*100</f>
        <v>0.47348484848484851</v>
      </c>
      <c r="L45"/>
      <c r="M45" s="58"/>
      <c r="N45" s="60"/>
      <c r="O45"/>
      <c r="P45"/>
      <c r="Q45"/>
      <c r="R45"/>
    </row>
    <row r="46" spans="1:44" s="7" customFormat="1" ht="30.6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>
        <v>5</v>
      </c>
      <c r="K46" s="11">
        <f t="shared" ref="K46:K58" si="5">J46/1056*100</f>
        <v>0.47348484848484851</v>
      </c>
      <c r="L46"/>
      <c r="M46" s="58"/>
      <c r="N46" s="60"/>
      <c r="O46"/>
      <c r="P46"/>
      <c r="Q46"/>
      <c r="R46"/>
    </row>
    <row r="47" spans="1:44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>
        <v>5</v>
      </c>
      <c r="K47" s="11">
        <f t="shared" si="5"/>
        <v>0.47348484848484851</v>
      </c>
      <c r="L47"/>
      <c r="M47" s="58"/>
      <c r="N47" s="60"/>
      <c r="O47"/>
      <c r="P47"/>
      <c r="Q47"/>
      <c r="R47"/>
    </row>
    <row r="48" spans="1:44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>
        <v>5</v>
      </c>
      <c r="K48" s="11">
        <f t="shared" si="5"/>
        <v>0.47348484848484851</v>
      </c>
      <c r="L48"/>
      <c r="M48" s="58"/>
      <c r="N48" s="60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>
        <v>4</v>
      </c>
      <c r="K49" s="11">
        <f t="shared" si="5"/>
        <v>0.37878787878787878</v>
      </c>
      <c r="L49"/>
      <c r="M49" s="58"/>
      <c r="N49" s="60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>
        <v>4</v>
      </c>
      <c r="K50" s="11">
        <f t="shared" si="5"/>
        <v>0.37878787878787878</v>
      </c>
      <c r="L50"/>
      <c r="M50" s="58"/>
      <c r="N50" s="6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>
        <v>4</v>
      </c>
      <c r="K51" s="11">
        <f t="shared" si="5"/>
        <v>0.37878787878787878</v>
      </c>
      <c r="L51"/>
      <c r="M51" s="58"/>
      <c r="N51" s="60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>
        <v>4</v>
      </c>
      <c r="K52" s="11">
        <f t="shared" si="5"/>
        <v>0.37878787878787878</v>
      </c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>
        <v>3</v>
      </c>
      <c r="K53" s="11">
        <f t="shared" si="5"/>
        <v>0.28409090909090912</v>
      </c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>
        <v>3</v>
      </c>
      <c r="K54" s="11">
        <f t="shared" si="5"/>
        <v>0.28409090909090912</v>
      </c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>
        <v>3</v>
      </c>
      <c r="K55" s="11">
        <f t="shared" si="5"/>
        <v>0.28409090909090912</v>
      </c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>
        <v>3</v>
      </c>
      <c r="K56" s="11">
        <f t="shared" si="5"/>
        <v>0.28409090909090912</v>
      </c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>
        <v>2</v>
      </c>
      <c r="K57" s="11">
        <f t="shared" si="5"/>
        <v>0.18939393939393939</v>
      </c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>
        <v>2</v>
      </c>
      <c r="K58" s="11">
        <f t="shared" si="5"/>
        <v>0.18939393939393939</v>
      </c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41.4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41.4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 t="s">
        <v>17</v>
      </c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 t="s">
        <v>17</v>
      </c>
      <c r="K67" s="17"/>
      <c r="L67"/>
      <c r="M67"/>
      <c r="N67"/>
      <c r="O67"/>
      <c r="P67"/>
      <c r="Q67"/>
      <c r="R67"/>
    </row>
    <row r="68" spans="1:18" s="2" customFormat="1" ht="41.4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>
        <f>J68/202*100</f>
        <v>1.9801980198019802</v>
      </c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>
        <f t="shared" ref="K69:K73" si="6">J69/202*100</f>
        <v>1.4851485148514851</v>
      </c>
      <c r="L69"/>
      <c r="M69"/>
      <c r="N69"/>
      <c r="O69"/>
      <c r="P69"/>
      <c r="Q69"/>
      <c r="R69"/>
    </row>
    <row r="70" spans="1:18" s="2" customFormat="1" ht="41.4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>
        <f t="shared" si="6"/>
        <v>1.4851485148514851</v>
      </c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>
        <f t="shared" si="6"/>
        <v>0.99009900990099009</v>
      </c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>
        <f t="shared" si="6"/>
        <v>0.99009900990099009</v>
      </c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>
        <f t="shared" si="6"/>
        <v>0.99009900990099009</v>
      </c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>
        <v>5</v>
      </c>
      <c r="K74" s="17">
        <f>J74/151*100</f>
        <v>3.3112582781456954</v>
      </c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>
        <v>5</v>
      </c>
      <c r="K75" s="17">
        <f t="shared" ref="K75:K79" si="7">J75/151*100</f>
        <v>3.3112582781456954</v>
      </c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>
        <v>5</v>
      </c>
      <c r="K76" s="17">
        <f t="shared" si="7"/>
        <v>3.3112582781456954</v>
      </c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>
        <v>5</v>
      </c>
      <c r="K77" s="17">
        <f t="shared" si="7"/>
        <v>3.3112582781456954</v>
      </c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>
        <v>5</v>
      </c>
      <c r="K78" s="17">
        <f t="shared" si="7"/>
        <v>3.3112582781456954</v>
      </c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>
        <v>5</v>
      </c>
      <c r="K79" s="17">
        <f t="shared" si="7"/>
        <v>3.3112582781456954</v>
      </c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>
        <f>J80/1056*100</f>
        <v>0.47348484848484851</v>
      </c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>
        <f t="shared" ref="K81:K96" si="8">J81/1056*100</f>
        <v>0.47348484848484851</v>
      </c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>
        <f t="shared" si="8"/>
        <v>0.47348484848484851</v>
      </c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>
        <f t="shared" si="8"/>
        <v>0.47348484848484851</v>
      </c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>
        <f t="shared" si="8"/>
        <v>0.47348484848484851</v>
      </c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>
        <f t="shared" si="8"/>
        <v>0.47348484848484851</v>
      </c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>
        <f t="shared" si="8"/>
        <v>0.37878787878787878</v>
      </c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>
        <f t="shared" si="8"/>
        <v>0.37878787878787878</v>
      </c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>
        <f t="shared" si="8"/>
        <v>0.37878787878787878</v>
      </c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>
        <f t="shared" si="8"/>
        <v>0.37878787878787878</v>
      </c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>
        <f t="shared" si="8"/>
        <v>0.37878787878787878</v>
      </c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>
        <f t="shared" si="8"/>
        <v>0.28409090909090912</v>
      </c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>
        <f t="shared" si="8"/>
        <v>0.28409090909090912</v>
      </c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>
        <f t="shared" si="8"/>
        <v>0.18939393939393939</v>
      </c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>
        <f t="shared" si="8"/>
        <v>0.18939393939393939</v>
      </c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>
        <f t="shared" si="8"/>
        <v>0.18939393939393939</v>
      </c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>
        <f t="shared" si="8"/>
        <v>9.4696969696969696E-2</v>
      </c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 t="s">
        <v>17</v>
      </c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>
        <f>J102/202*100</f>
        <v>2.9702970297029703</v>
      </c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>
        <f t="shared" ref="K103:K104" si="9">J103/202*100</f>
        <v>1.4851485148514851</v>
      </c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>
        <f t="shared" si="9"/>
        <v>0.99009900990099009</v>
      </c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>
        <v>5</v>
      </c>
      <c r="K105" s="17">
        <f>J105/151*100</f>
        <v>3.3112582781456954</v>
      </c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>
        <v>3</v>
      </c>
      <c r="K106" s="17">
        <f t="shared" ref="K106:K108" si="10">J106/151*100</f>
        <v>1.9867549668874174</v>
      </c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>
        <v>3</v>
      </c>
      <c r="K107" s="17">
        <f t="shared" si="10"/>
        <v>1.9867549668874174</v>
      </c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>
        <v>3</v>
      </c>
      <c r="K108" s="17">
        <f t="shared" si="10"/>
        <v>1.9867549668874174</v>
      </c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>
        <v>5</v>
      </c>
      <c r="K109" s="11">
        <f>J109/1056*100</f>
        <v>0.47348484848484851</v>
      </c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>
        <v>5</v>
      </c>
      <c r="K110" s="11">
        <f t="shared" ref="K110:K127" si="11">J110/1056*100</f>
        <v>0.47348484848484851</v>
      </c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>
        <v>5</v>
      </c>
      <c r="K111" s="11">
        <f t="shared" si="11"/>
        <v>0.47348484848484851</v>
      </c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>
        <v>5</v>
      </c>
      <c r="K112" s="11">
        <f t="shared" si="11"/>
        <v>0.47348484848484851</v>
      </c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>
        <v>5</v>
      </c>
      <c r="K113" s="11">
        <f t="shared" si="11"/>
        <v>0.47348484848484851</v>
      </c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>
        <v>4</v>
      </c>
      <c r="K114" s="11">
        <f t="shared" si="11"/>
        <v>0.37878787878787878</v>
      </c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>
        <v>4</v>
      </c>
      <c r="K115" s="11">
        <f t="shared" si="11"/>
        <v>0.37878787878787878</v>
      </c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>
        <v>4</v>
      </c>
      <c r="K116" s="11">
        <f t="shared" si="11"/>
        <v>0.37878787878787878</v>
      </c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>
        <v>4</v>
      </c>
      <c r="K117" s="11">
        <f t="shared" si="11"/>
        <v>0.37878787878787878</v>
      </c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>
        <v>4</v>
      </c>
      <c r="K118" s="11">
        <f t="shared" si="11"/>
        <v>0.37878787878787878</v>
      </c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>
        <v>4</v>
      </c>
      <c r="K119" s="11">
        <f t="shared" si="11"/>
        <v>0.37878787878787878</v>
      </c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>
        <v>4</v>
      </c>
      <c r="K120" s="11">
        <f t="shared" si="11"/>
        <v>0.37878787878787878</v>
      </c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>
        <v>3</v>
      </c>
      <c r="K121" s="11">
        <f t="shared" si="11"/>
        <v>0.28409090909090912</v>
      </c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>
        <v>3</v>
      </c>
      <c r="K122" s="11">
        <f t="shared" si="11"/>
        <v>0.28409090909090912</v>
      </c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>
        <v>3</v>
      </c>
      <c r="K123" s="11">
        <f t="shared" si="11"/>
        <v>0.28409090909090912</v>
      </c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>
        <v>3</v>
      </c>
      <c r="K124" s="11">
        <f t="shared" si="11"/>
        <v>0.28409090909090912</v>
      </c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>
        <v>2</v>
      </c>
      <c r="K125" s="11">
        <f t="shared" si="11"/>
        <v>0.18939393939393939</v>
      </c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>
        <v>2</v>
      </c>
      <c r="K126" s="11">
        <f t="shared" si="11"/>
        <v>0.18939393939393939</v>
      </c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>
        <v>2</v>
      </c>
      <c r="K127" s="11">
        <f t="shared" si="11"/>
        <v>0.18939393939393939</v>
      </c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>
        <f>J133/202*100</f>
        <v>8.9108910891089099</v>
      </c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>
        <f t="shared" ref="K134:K145" si="12">J134/202*100</f>
        <v>2.9702970297029703</v>
      </c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>
        <f t="shared" si="12"/>
        <v>2.4752475247524752</v>
      </c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>
        <f t="shared" si="12"/>
        <v>1.9801980198019802</v>
      </c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>
        <f t="shared" si="12"/>
        <v>1.4851485148514851</v>
      </c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>
        <f t="shared" si="12"/>
        <v>1.4851485148514851</v>
      </c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>
        <f t="shared" si="12"/>
        <v>1.4851485148514851</v>
      </c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>
        <f t="shared" si="12"/>
        <v>1.4851485148514851</v>
      </c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>
        <f t="shared" si="12"/>
        <v>1.4851485148514851</v>
      </c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>
        <f t="shared" si="12"/>
        <v>0.99009900990099009</v>
      </c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>
        <f t="shared" si="12"/>
        <v>0.99009900990099009</v>
      </c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>
        <f t="shared" si="12"/>
        <v>0.99009900990099009</v>
      </c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>
        <f t="shared" si="12"/>
        <v>0.49504950495049505</v>
      </c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>
        <f>J146/1056*100</f>
        <v>0.47348484848484851</v>
      </c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>
        <f t="shared" ref="K147:K163" si="13">J147/1056*100</f>
        <v>0.47348484848484851</v>
      </c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>
        <f t="shared" si="13"/>
        <v>0.47348484848484851</v>
      </c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>
        <f t="shared" si="13"/>
        <v>0.47348484848484851</v>
      </c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>
        <f t="shared" si="13"/>
        <v>0.47348484848484851</v>
      </c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>
        <f t="shared" si="13"/>
        <v>0.47348484848484851</v>
      </c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>
        <f t="shared" si="13"/>
        <v>0.47348484848484851</v>
      </c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>
        <f t="shared" si="13"/>
        <v>0.47348484848484851</v>
      </c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>
        <f t="shared" si="13"/>
        <v>0.47348484848484851</v>
      </c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>
        <f t="shared" si="13"/>
        <v>0.37878787878787878</v>
      </c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>
        <f t="shared" si="13"/>
        <v>0.37878787878787878</v>
      </c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>
        <f t="shared" si="13"/>
        <v>0.37878787878787878</v>
      </c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>
        <f t="shared" si="13"/>
        <v>0.37878787878787878</v>
      </c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>
        <f t="shared" si="13"/>
        <v>0.37878787878787878</v>
      </c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>
        <f t="shared" si="13"/>
        <v>0.28409090909090912</v>
      </c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>
        <f t="shared" si="13"/>
        <v>0.28409090909090912</v>
      </c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>
        <f t="shared" si="13"/>
        <v>9.4696969696969696E-2</v>
      </c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>
        <f t="shared" si="13"/>
        <v>9.4696969696969696E-2</v>
      </c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>
        <f>J165/202*100</f>
        <v>1.4851485148514851</v>
      </c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>
        <f t="shared" ref="K166:K171" si="14">J166/202*100</f>
        <v>1.4851485148514851</v>
      </c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>
        <f t="shared" si="14"/>
        <v>1.4851485148514851</v>
      </c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>
        <f t="shared" si="14"/>
        <v>1.4851485148514851</v>
      </c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>
        <f t="shared" si="14"/>
        <v>0.99009900990099009</v>
      </c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>
        <v>1</v>
      </c>
      <c r="K170" s="8">
        <f t="shared" si="14"/>
        <v>0.49504950495049505</v>
      </c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>
        <v>1</v>
      </c>
      <c r="K171" s="8">
        <f t="shared" si="14"/>
        <v>0.49504950495049505</v>
      </c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>
        <v>5</v>
      </c>
      <c r="K172" s="11">
        <f>J172/1056*100</f>
        <v>0.47348484848484851</v>
      </c>
      <c r="L172"/>
      <c r="M172"/>
      <c r="N172"/>
      <c r="O172"/>
      <c r="P172"/>
      <c r="Q172"/>
      <c r="R172"/>
    </row>
    <row r="173" spans="1:18" s="2" customFormat="1" ht="30.6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>
        <v>5</v>
      </c>
      <c r="K173" s="11">
        <f t="shared" ref="K173:K190" si="15">J173/1056*100</f>
        <v>0.47348484848484851</v>
      </c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>
        <v>5</v>
      </c>
      <c r="K174" s="11">
        <f t="shared" si="15"/>
        <v>0.47348484848484851</v>
      </c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>
        <v>5</v>
      </c>
      <c r="K175" s="11">
        <f t="shared" si="15"/>
        <v>0.47348484848484851</v>
      </c>
      <c r="L175"/>
      <c r="M175"/>
      <c r="N175"/>
      <c r="O175"/>
      <c r="P175"/>
      <c r="Q175"/>
      <c r="R175"/>
    </row>
    <row r="176" spans="1:18" s="2" customFormat="1" ht="30.6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>
        <v>5</v>
      </c>
      <c r="K176" s="11">
        <f t="shared" si="15"/>
        <v>0.47348484848484851</v>
      </c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>
        <v>5</v>
      </c>
      <c r="K177" s="11">
        <f t="shared" si="15"/>
        <v>0.47348484848484851</v>
      </c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>
        <v>5</v>
      </c>
      <c r="K178" s="11">
        <f t="shared" si="15"/>
        <v>0.47348484848484851</v>
      </c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>
        <v>4</v>
      </c>
      <c r="K179" s="11">
        <f t="shared" si="15"/>
        <v>0.37878787878787878</v>
      </c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>
        <v>4</v>
      </c>
      <c r="K180" s="11">
        <f t="shared" si="15"/>
        <v>0.37878787878787878</v>
      </c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>
        <v>4</v>
      </c>
      <c r="K181" s="11">
        <f t="shared" si="15"/>
        <v>0.37878787878787878</v>
      </c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>
        <v>4</v>
      </c>
      <c r="K182" s="11">
        <f t="shared" si="15"/>
        <v>0.37878787878787878</v>
      </c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>
        <v>4</v>
      </c>
      <c r="K183" s="11">
        <f t="shared" si="15"/>
        <v>0.37878787878787878</v>
      </c>
      <c r="L183"/>
      <c r="M183"/>
      <c r="N183"/>
      <c r="O183"/>
      <c r="P183"/>
      <c r="Q183"/>
      <c r="R183"/>
    </row>
    <row r="184" spans="1:18" s="2" customFormat="1" ht="30.6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>
        <v>4</v>
      </c>
      <c r="K184" s="11">
        <f t="shared" si="15"/>
        <v>0.37878787878787878</v>
      </c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>
        <v>3</v>
      </c>
      <c r="K185" s="11">
        <f t="shared" si="15"/>
        <v>0.28409090909090912</v>
      </c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>
        <v>2</v>
      </c>
      <c r="K186" s="11">
        <f t="shared" si="15"/>
        <v>0.18939393939393939</v>
      </c>
      <c r="L186"/>
      <c r="M186"/>
      <c r="N186"/>
      <c r="O186"/>
      <c r="P186"/>
      <c r="Q186"/>
      <c r="R186"/>
    </row>
    <row r="187" spans="1:18" s="2" customFormat="1" ht="30.6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>
        <v>2</v>
      </c>
      <c r="K187" s="11">
        <f t="shared" si="15"/>
        <v>0.18939393939393939</v>
      </c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>
        <v>2</v>
      </c>
      <c r="K188" s="11">
        <f t="shared" si="15"/>
        <v>0.18939393939393939</v>
      </c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>
        <v>1</v>
      </c>
      <c r="K189" s="11">
        <f t="shared" si="15"/>
        <v>9.4696969696969696E-2</v>
      </c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>
        <v>1</v>
      </c>
      <c r="K190" s="11">
        <f t="shared" si="15"/>
        <v>9.4696969696969696E-2</v>
      </c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 t="s">
        <v>17</v>
      </c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>
        <f>J197/202*100</f>
        <v>2.4752475247524752</v>
      </c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>
        <f t="shared" ref="K198:K204" si="16">J198/202*100</f>
        <v>2.4752475247524752</v>
      </c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>
        <f t="shared" si="16"/>
        <v>1.9801980198019802</v>
      </c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>
        <f t="shared" si="16"/>
        <v>1.9801980198019802</v>
      </c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>
        <f t="shared" si="16"/>
        <v>1.9801980198019802</v>
      </c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>
        <f t="shared" si="16"/>
        <v>0.99009900990099009</v>
      </c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>
        <f t="shared" si="16"/>
        <v>0.49504950495049505</v>
      </c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>
        <f t="shared" si="16"/>
        <v>0.49504950495049505</v>
      </c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>
        <v>4</v>
      </c>
      <c r="K205" s="17">
        <f>J205/151*100</f>
        <v>2.6490066225165565</v>
      </c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>
        <v>4</v>
      </c>
      <c r="K206" s="17">
        <f t="shared" ref="K206:K207" si="17">J206/151*100</f>
        <v>2.6490066225165565</v>
      </c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>
        <v>3</v>
      </c>
      <c r="K207" s="17">
        <f t="shared" si="17"/>
        <v>1.9867549668874174</v>
      </c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>
        <v>5</v>
      </c>
      <c r="K208" s="11">
        <f>J208/1056*100</f>
        <v>0.47348484848484851</v>
      </c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>
        <v>5</v>
      </c>
      <c r="K209" s="11">
        <f t="shared" ref="K209:K226" si="18">J209/1056*100</f>
        <v>0.47348484848484851</v>
      </c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>
        <v>5</v>
      </c>
      <c r="K210" s="11">
        <f t="shared" si="18"/>
        <v>0.47348484848484851</v>
      </c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>
        <v>5</v>
      </c>
      <c r="K211" s="11">
        <f t="shared" si="18"/>
        <v>0.47348484848484851</v>
      </c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>
        <v>5</v>
      </c>
      <c r="K212" s="11">
        <f t="shared" si="18"/>
        <v>0.47348484848484851</v>
      </c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>
        <v>4</v>
      </c>
      <c r="K213" s="11">
        <f t="shared" si="18"/>
        <v>0.37878787878787878</v>
      </c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>
        <v>4</v>
      </c>
      <c r="K214" s="11">
        <f t="shared" si="18"/>
        <v>0.37878787878787878</v>
      </c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>
        <v>4</v>
      </c>
      <c r="K215" s="11">
        <f t="shared" si="18"/>
        <v>0.37878787878787878</v>
      </c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>
        <v>4</v>
      </c>
      <c r="K216" s="11">
        <f t="shared" si="18"/>
        <v>0.37878787878787878</v>
      </c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>
        <v>4</v>
      </c>
      <c r="K217" s="11">
        <f t="shared" si="18"/>
        <v>0.37878787878787878</v>
      </c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>
        <v>4</v>
      </c>
      <c r="K218" s="11">
        <f t="shared" si="18"/>
        <v>0.37878787878787878</v>
      </c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>
        <v>3</v>
      </c>
      <c r="K219" s="11">
        <f t="shared" si="18"/>
        <v>0.28409090909090912</v>
      </c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>
        <v>3</v>
      </c>
      <c r="K220" s="11">
        <f t="shared" si="18"/>
        <v>0.28409090909090912</v>
      </c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>
        <v>2</v>
      </c>
      <c r="K221" s="11">
        <f t="shared" si="18"/>
        <v>0.18939393939393939</v>
      </c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>
        <v>2</v>
      </c>
      <c r="K222" s="11">
        <f t="shared" si="18"/>
        <v>0.18939393939393939</v>
      </c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>
        <v>1</v>
      </c>
      <c r="K223" s="11">
        <f t="shared" si="18"/>
        <v>9.4696969696969696E-2</v>
      </c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>
        <v>1</v>
      </c>
      <c r="K224" s="11">
        <f t="shared" si="18"/>
        <v>9.4696969696969696E-2</v>
      </c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>
        <v>1</v>
      </c>
      <c r="K225" s="11">
        <f t="shared" si="18"/>
        <v>9.4696969696969696E-2</v>
      </c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>
        <v>1</v>
      </c>
      <c r="K226" s="11">
        <f t="shared" si="18"/>
        <v>9.4696969696969696E-2</v>
      </c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 t="s">
        <v>17</v>
      </c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>
        <v>4</v>
      </c>
      <c r="K228" s="8">
        <f>J228/202*100</f>
        <v>1.9801980198019802</v>
      </c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>
        <v>5</v>
      </c>
      <c r="K229" s="17">
        <f>J229/151*100</f>
        <v>3.3112582781456954</v>
      </c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>
        <v>4</v>
      </c>
      <c r="K230" s="17">
        <f t="shared" ref="K230:K231" si="19">J230/151*100</f>
        <v>2.6490066225165565</v>
      </c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>
        <v>4</v>
      </c>
      <c r="K231" s="17">
        <f t="shared" si="19"/>
        <v>2.6490066225165565</v>
      </c>
      <c r="L231"/>
      <c r="M231"/>
      <c r="N231"/>
      <c r="O231"/>
      <c r="P231"/>
      <c r="Q231"/>
      <c r="R231"/>
    </row>
    <row r="232" spans="1:18" s="2" customFormat="1" ht="41.4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>
        <f>J232/1056*100</f>
        <v>0.47348484848484851</v>
      </c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>
        <f t="shared" ref="K233:K246" si="20">J233/1056*100</f>
        <v>0.47348484848484851</v>
      </c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>
        <f t="shared" si="20"/>
        <v>0.47348484848484851</v>
      </c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>
        <f t="shared" si="20"/>
        <v>0.37878787878787878</v>
      </c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>
        <f t="shared" si="20"/>
        <v>0.37878787878787878</v>
      </c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>
        <f t="shared" si="20"/>
        <v>0.28409090909090912</v>
      </c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>
        <f t="shared" si="20"/>
        <v>0.28409090909090912</v>
      </c>
      <c r="L238"/>
      <c r="M238"/>
      <c r="N238"/>
      <c r="O238"/>
      <c r="P238"/>
      <c r="Q238"/>
      <c r="R238"/>
    </row>
    <row r="239" spans="1:18" s="2" customFormat="1" ht="41.4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>
        <f t="shared" si="20"/>
        <v>0.28409090909090912</v>
      </c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>
        <f t="shared" si="20"/>
        <v>0.28409090909090912</v>
      </c>
      <c r="L240"/>
      <c r="M240"/>
      <c r="N240"/>
      <c r="O240"/>
      <c r="P240"/>
      <c r="Q240"/>
      <c r="R240"/>
    </row>
    <row r="241" spans="1:18" s="2" customFormat="1" ht="41.4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>
        <f t="shared" si="20"/>
        <v>0.18939393939393939</v>
      </c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>
        <f t="shared" si="20"/>
        <v>0.18939393939393939</v>
      </c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>
        <f t="shared" si="20"/>
        <v>0.18939393939393939</v>
      </c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>
        <f t="shared" si="20"/>
        <v>0.18939393939393939</v>
      </c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>
        <f t="shared" si="20"/>
        <v>9.4696969696969696E-2</v>
      </c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>
        <v>1</v>
      </c>
      <c r="K246" s="11">
        <f t="shared" si="20"/>
        <v>9.4696969696969696E-2</v>
      </c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 t="s">
        <v>17</v>
      </c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>
        <v>5</v>
      </c>
      <c r="K248" s="17">
        <f>J248/151*100</f>
        <v>3.3112582781456954</v>
      </c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>
        <v>3</v>
      </c>
      <c r="K249" s="17">
        <f t="shared" ref="K249:K250" si="21">J249/151*100</f>
        <v>1.9867549668874174</v>
      </c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>
        <v>2</v>
      </c>
      <c r="K250" s="17">
        <f t="shared" si="21"/>
        <v>1.3245033112582782</v>
      </c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>
        <v>5</v>
      </c>
      <c r="K251" s="11">
        <f>J251/1056*100</f>
        <v>0.47348484848484851</v>
      </c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>
        <v>5</v>
      </c>
      <c r="K252" s="11">
        <f t="shared" ref="K252:K266" si="22">J252/1056*100</f>
        <v>0.47348484848484851</v>
      </c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>
        <v>5</v>
      </c>
      <c r="K253" s="11">
        <f t="shared" si="22"/>
        <v>0.47348484848484851</v>
      </c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>
        <v>5</v>
      </c>
      <c r="K254" s="11">
        <f t="shared" si="22"/>
        <v>0.47348484848484851</v>
      </c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>
        <v>5</v>
      </c>
      <c r="K255" s="11">
        <f t="shared" si="22"/>
        <v>0.47348484848484851</v>
      </c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>
        <v>4</v>
      </c>
      <c r="K256" s="11">
        <f t="shared" si="22"/>
        <v>0.37878787878787878</v>
      </c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>
        <v>4</v>
      </c>
      <c r="K257" s="11">
        <f t="shared" si="22"/>
        <v>0.37878787878787878</v>
      </c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>
        <v>4</v>
      </c>
      <c r="K258" s="11">
        <f t="shared" si="22"/>
        <v>0.37878787878787878</v>
      </c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>
        <v>4</v>
      </c>
      <c r="K259" s="11">
        <f t="shared" si="22"/>
        <v>0.37878787878787878</v>
      </c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>
        <v>3</v>
      </c>
      <c r="K260" s="11">
        <f t="shared" si="22"/>
        <v>0.28409090909090912</v>
      </c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>
        <v>3</v>
      </c>
      <c r="K261" s="11">
        <f t="shared" si="22"/>
        <v>0.28409090909090912</v>
      </c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>
        <v>3</v>
      </c>
      <c r="K262" s="11">
        <f t="shared" si="22"/>
        <v>0.28409090909090912</v>
      </c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>
        <v>2</v>
      </c>
      <c r="K263" s="11">
        <f t="shared" si="22"/>
        <v>0.18939393939393939</v>
      </c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>
        <v>2</v>
      </c>
      <c r="K264" s="11">
        <f t="shared" si="22"/>
        <v>0.18939393939393939</v>
      </c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>
        <v>2</v>
      </c>
      <c r="K265" s="11">
        <f t="shared" si="22"/>
        <v>0.18939393939393939</v>
      </c>
      <c r="L265"/>
      <c r="M265"/>
      <c r="N265"/>
      <c r="O265"/>
      <c r="P265"/>
      <c r="Q265"/>
      <c r="R265"/>
    </row>
    <row r="266" spans="1:18" s="7" customFormat="1" ht="41.4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>
        <v>2</v>
      </c>
      <c r="K266" s="11">
        <f t="shared" si="22"/>
        <v>0.18939393939393939</v>
      </c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 t="s">
        <v>17</v>
      </c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>
        <v>5</v>
      </c>
      <c r="K268" s="17">
        <f>J268/151*100</f>
        <v>3.3112582781456954</v>
      </c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>
        <v>4</v>
      </c>
      <c r="K269" s="17">
        <f t="shared" ref="K269:K271" si="23">J269/151*100</f>
        <v>2.6490066225165565</v>
      </c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>
        <v>3</v>
      </c>
      <c r="K270" s="17">
        <f t="shared" si="23"/>
        <v>1.9867549668874174</v>
      </c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>
        <v>3</v>
      </c>
      <c r="K271" s="17">
        <f t="shared" si="23"/>
        <v>1.9867549668874174</v>
      </c>
      <c r="L271"/>
      <c r="M271"/>
      <c r="N271"/>
      <c r="O271"/>
      <c r="P271"/>
      <c r="Q271"/>
      <c r="R271"/>
    </row>
    <row r="272" spans="1:18" s="7" customFormat="1" ht="41.4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>
        <v>5</v>
      </c>
      <c r="K272" s="11">
        <f>J272/1056*100</f>
        <v>0.47348484848484851</v>
      </c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>
        <v>5</v>
      </c>
      <c r="K273" s="11">
        <f t="shared" ref="K273:K288" si="24">J273/1056*100</f>
        <v>0.47348484848484851</v>
      </c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>
        <v>5</v>
      </c>
      <c r="K274" s="11">
        <f t="shared" si="24"/>
        <v>0.47348484848484851</v>
      </c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>
        <v>5</v>
      </c>
      <c r="K275" s="11">
        <f t="shared" si="24"/>
        <v>0.47348484848484851</v>
      </c>
      <c r="L275"/>
      <c r="M275"/>
      <c r="N275"/>
      <c r="O275"/>
      <c r="P275"/>
      <c r="Q275"/>
      <c r="R275"/>
    </row>
    <row r="276" spans="1:18" s="7" customFormat="1" ht="41.4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>
        <v>5</v>
      </c>
      <c r="K276" s="11">
        <f t="shared" si="24"/>
        <v>0.47348484848484851</v>
      </c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>
        <v>5</v>
      </c>
      <c r="K277" s="11">
        <f t="shared" si="24"/>
        <v>0.47348484848484851</v>
      </c>
      <c r="L277"/>
      <c r="M277"/>
      <c r="N277"/>
      <c r="O277"/>
      <c r="P277"/>
      <c r="Q277"/>
      <c r="R277"/>
    </row>
    <row r="278" spans="1:18" s="7" customFormat="1" ht="41.4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>
        <v>5</v>
      </c>
      <c r="K278" s="11">
        <f t="shared" si="24"/>
        <v>0.47348484848484851</v>
      </c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>
        <v>4</v>
      </c>
      <c r="K279" s="11">
        <f t="shared" si="24"/>
        <v>0.37878787878787878</v>
      </c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>
        <v>4</v>
      </c>
      <c r="K280" s="11">
        <f t="shared" si="24"/>
        <v>0.37878787878787878</v>
      </c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>
        <v>4</v>
      </c>
      <c r="K281" s="11">
        <f t="shared" si="24"/>
        <v>0.37878787878787878</v>
      </c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>
        <v>4</v>
      </c>
      <c r="K282" s="11">
        <f t="shared" si="24"/>
        <v>0.37878787878787878</v>
      </c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>
        <v>4</v>
      </c>
      <c r="K283" s="11">
        <f t="shared" si="24"/>
        <v>0.37878787878787878</v>
      </c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>
        <v>3</v>
      </c>
      <c r="K284" s="11">
        <f t="shared" si="24"/>
        <v>0.28409090909090912</v>
      </c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>
        <v>3</v>
      </c>
      <c r="K285" s="11">
        <f t="shared" si="24"/>
        <v>0.28409090909090912</v>
      </c>
      <c r="L285"/>
      <c r="M285"/>
      <c r="N285"/>
      <c r="O285"/>
      <c r="P285"/>
      <c r="Q285"/>
      <c r="R285"/>
    </row>
    <row r="286" spans="1:18" s="7" customFormat="1" ht="41.4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>
        <v>3</v>
      </c>
      <c r="K286" s="11">
        <f t="shared" si="24"/>
        <v>0.28409090909090912</v>
      </c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>
        <v>2</v>
      </c>
      <c r="K287" s="11">
        <f t="shared" si="24"/>
        <v>0.18939393939393939</v>
      </c>
      <c r="L287"/>
      <c r="M287"/>
      <c r="N287"/>
      <c r="O287"/>
      <c r="P287"/>
      <c r="Q287"/>
      <c r="R287"/>
    </row>
    <row r="288" spans="1:18" s="7" customFormat="1" ht="41.4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>
        <v>2</v>
      </c>
      <c r="K288" s="11">
        <f t="shared" si="24"/>
        <v>0.18939393939393939</v>
      </c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 t="s">
        <v>17</v>
      </c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>
        <v>5</v>
      </c>
      <c r="K290" s="17">
        <f>J290/151*100</f>
        <v>3.3112582781456954</v>
      </c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>
        <v>5</v>
      </c>
      <c r="K291" s="17">
        <f t="shared" ref="K291:K294" si="25">J291/151*100</f>
        <v>3.3112582781456954</v>
      </c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>
        <v>4</v>
      </c>
      <c r="K292" s="17">
        <f t="shared" si="25"/>
        <v>2.6490066225165565</v>
      </c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>
        <v>3</v>
      </c>
      <c r="K293" s="17">
        <f t="shared" si="25"/>
        <v>1.9867549668874174</v>
      </c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>
        <v>2</v>
      </c>
      <c r="K294" s="17">
        <f t="shared" si="25"/>
        <v>1.3245033112582782</v>
      </c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>
        <v>5</v>
      </c>
      <c r="K295" s="11">
        <f>J295/1056*100</f>
        <v>0.47348484848484851</v>
      </c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>
        <v>5</v>
      </c>
      <c r="K296" s="11">
        <f t="shared" ref="K296:K313" si="26">J296/1056*100</f>
        <v>0.47348484848484851</v>
      </c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>
        <v>5</v>
      </c>
      <c r="K297" s="11">
        <f t="shared" si="26"/>
        <v>0.47348484848484851</v>
      </c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>
        <v>5</v>
      </c>
      <c r="K298" s="11">
        <f t="shared" si="26"/>
        <v>0.47348484848484851</v>
      </c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>
        <v>5</v>
      </c>
      <c r="K299" s="11">
        <f t="shared" si="26"/>
        <v>0.47348484848484851</v>
      </c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>
        <v>5</v>
      </c>
      <c r="K300" s="11">
        <f t="shared" si="26"/>
        <v>0.47348484848484851</v>
      </c>
      <c r="L300"/>
      <c r="M300"/>
      <c r="N300"/>
      <c r="O300"/>
      <c r="P300"/>
      <c r="Q300"/>
      <c r="R300"/>
    </row>
    <row r="301" spans="1:18" s="7" customFormat="1" ht="41.4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>
        <v>4</v>
      </c>
      <c r="K301" s="11">
        <f t="shared" si="26"/>
        <v>0.37878787878787878</v>
      </c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>
        <v>4</v>
      </c>
      <c r="K302" s="11">
        <f t="shared" si="26"/>
        <v>0.37878787878787878</v>
      </c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>
        <v>4</v>
      </c>
      <c r="K303" s="11">
        <f t="shared" si="26"/>
        <v>0.37878787878787878</v>
      </c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>
        <v>4</v>
      </c>
      <c r="K304" s="11">
        <f t="shared" si="26"/>
        <v>0.37878787878787878</v>
      </c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>
        <v>4</v>
      </c>
      <c r="K305" s="11">
        <f t="shared" si="26"/>
        <v>0.37878787878787878</v>
      </c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>
        <v>4</v>
      </c>
      <c r="K306" s="11">
        <f t="shared" si="26"/>
        <v>0.37878787878787878</v>
      </c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>
        <v>3</v>
      </c>
      <c r="K307" s="11">
        <f t="shared" si="26"/>
        <v>0.28409090909090912</v>
      </c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>
        <v>3</v>
      </c>
      <c r="K308" s="11">
        <f t="shared" si="26"/>
        <v>0.28409090909090912</v>
      </c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>
        <v>3</v>
      </c>
      <c r="K309" s="11">
        <f t="shared" si="26"/>
        <v>0.28409090909090912</v>
      </c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>
        <v>3</v>
      </c>
      <c r="K310" s="11">
        <f t="shared" si="26"/>
        <v>0.28409090909090912</v>
      </c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>
        <v>3</v>
      </c>
      <c r="K311" s="11">
        <f t="shared" si="26"/>
        <v>0.28409090909090912</v>
      </c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>
        <v>2</v>
      </c>
      <c r="K312" s="11">
        <f t="shared" si="26"/>
        <v>0.18939393939393939</v>
      </c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>
        <v>2</v>
      </c>
      <c r="K313" s="11">
        <f t="shared" si="26"/>
        <v>0.18939393939393939</v>
      </c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 t="s">
        <v>17</v>
      </c>
      <c r="K314" s="11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>
        <v>4</v>
      </c>
      <c r="K315" s="17">
        <f>J315/151*100</f>
        <v>2.6490066225165565</v>
      </c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>
        <v>3</v>
      </c>
      <c r="K316" s="17">
        <f t="shared" ref="K316:K318" si="27">J316/151*100</f>
        <v>1.9867549668874174</v>
      </c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>
        <v>2</v>
      </c>
      <c r="K317" s="17">
        <f t="shared" si="27"/>
        <v>1.3245033112582782</v>
      </c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>
        <v>1</v>
      </c>
      <c r="K318" s="17">
        <f t="shared" si="27"/>
        <v>0.66225165562913912</v>
      </c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>
        <v>5</v>
      </c>
      <c r="K319" s="11">
        <f>J319/1056*100</f>
        <v>0.47348484848484851</v>
      </c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>
        <v>5</v>
      </c>
      <c r="K320" s="11">
        <f t="shared" ref="K320:K335" si="28">J320/1056*100</f>
        <v>0.47348484848484851</v>
      </c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>
        <v>5</v>
      </c>
      <c r="K321" s="11">
        <f t="shared" si="28"/>
        <v>0.47348484848484851</v>
      </c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>
        <v>5</v>
      </c>
      <c r="K322" s="11">
        <f t="shared" si="28"/>
        <v>0.47348484848484851</v>
      </c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>
        <v>5</v>
      </c>
      <c r="K323" s="11">
        <f t="shared" si="28"/>
        <v>0.47348484848484851</v>
      </c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>
        <v>4</v>
      </c>
      <c r="K324" s="11">
        <f t="shared" si="28"/>
        <v>0.37878787878787878</v>
      </c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>
        <v>4</v>
      </c>
      <c r="K325" s="11">
        <f t="shared" si="28"/>
        <v>0.37878787878787878</v>
      </c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>
        <v>4</v>
      </c>
      <c r="K326" s="11">
        <f t="shared" si="28"/>
        <v>0.37878787878787878</v>
      </c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>
        <v>4</v>
      </c>
      <c r="K327" s="11">
        <f t="shared" si="28"/>
        <v>0.37878787878787878</v>
      </c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>
        <v>4</v>
      </c>
      <c r="K328" s="11">
        <f t="shared" si="28"/>
        <v>0.37878787878787878</v>
      </c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>
        <v>3</v>
      </c>
      <c r="K329" s="11">
        <f t="shared" si="28"/>
        <v>0.28409090909090912</v>
      </c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>
        <v>3</v>
      </c>
      <c r="K330" s="11">
        <f t="shared" si="28"/>
        <v>0.28409090909090912</v>
      </c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>
        <v>3</v>
      </c>
      <c r="K331" s="11">
        <f t="shared" si="28"/>
        <v>0.28409090909090912</v>
      </c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>
        <v>2</v>
      </c>
      <c r="K332" s="11">
        <f t="shared" si="28"/>
        <v>0.18939393939393939</v>
      </c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>
        <v>2</v>
      </c>
      <c r="K333" s="11">
        <f t="shared" si="28"/>
        <v>0.18939393939393939</v>
      </c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>
        <v>2</v>
      </c>
      <c r="K334" s="11">
        <f t="shared" si="28"/>
        <v>0.18939393939393939</v>
      </c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>
        <v>2</v>
      </c>
      <c r="K335" s="11">
        <f t="shared" si="28"/>
        <v>0.18939393939393939</v>
      </c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 t="s">
        <v>17</v>
      </c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 t="s">
        <v>17</v>
      </c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>
        <v>5</v>
      </c>
      <c r="K338" s="8">
        <f>J338/202*100</f>
        <v>2.4752475247524752</v>
      </c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>
        <v>5</v>
      </c>
      <c r="K339" s="8">
        <f t="shared" ref="K339:K340" si="29">J339/202*100</f>
        <v>2.4752475247524752</v>
      </c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>
        <v>5</v>
      </c>
      <c r="K340" s="8">
        <f t="shared" si="29"/>
        <v>2.4752475247524752</v>
      </c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>
        <v>5</v>
      </c>
      <c r="K341" s="17">
        <f>J341/151*100</f>
        <v>3.3112582781456954</v>
      </c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>
        <v>4</v>
      </c>
      <c r="K342" s="17">
        <f t="shared" ref="K342:K347" si="30">J342/151*100</f>
        <v>2.6490066225165565</v>
      </c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>
        <v>3</v>
      </c>
      <c r="K343" s="17">
        <f t="shared" si="30"/>
        <v>1.9867549668874174</v>
      </c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>
        <v>3</v>
      </c>
      <c r="K344" s="17">
        <f t="shared" si="30"/>
        <v>1.9867549668874174</v>
      </c>
      <c r="L344"/>
      <c r="M344"/>
      <c r="N344"/>
      <c r="O344"/>
      <c r="P344"/>
      <c r="Q344"/>
      <c r="R344"/>
    </row>
    <row r="345" spans="1:18" s="7" customFormat="1" ht="41.4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>
        <v>3</v>
      </c>
      <c r="K345" s="17">
        <f t="shared" si="30"/>
        <v>1.9867549668874174</v>
      </c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>
        <v>2</v>
      </c>
      <c r="K346" s="17">
        <f t="shared" si="30"/>
        <v>1.3245033112582782</v>
      </c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>
        <v>2</v>
      </c>
      <c r="K347" s="17">
        <f t="shared" si="30"/>
        <v>1.3245033112582782</v>
      </c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>
        <v>5</v>
      </c>
      <c r="K348" s="11">
        <f>J348/1056*100</f>
        <v>0.47348484848484851</v>
      </c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>
        <v>5</v>
      </c>
      <c r="K349" s="11">
        <f t="shared" ref="K349:K361" si="31">J349/1056*100</f>
        <v>0.47348484848484851</v>
      </c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>
        <v>5</v>
      </c>
      <c r="K350" s="11">
        <f t="shared" si="31"/>
        <v>0.47348484848484851</v>
      </c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>
        <v>5</v>
      </c>
      <c r="K351" s="11">
        <f t="shared" si="31"/>
        <v>0.47348484848484851</v>
      </c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>
        <v>5</v>
      </c>
      <c r="K352" s="11">
        <f t="shared" si="31"/>
        <v>0.47348484848484851</v>
      </c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>
        <v>4</v>
      </c>
      <c r="K353" s="11">
        <f t="shared" si="31"/>
        <v>0.37878787878787878</v>
      </c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>
        <v>4</v>
      </c>
      <c r="K354" s="11">
        <f t="shared" si="31"/>
        <v>0.37878787878787878</v>
      </c>
      <c r="L354"/>
      <c r="M354"/>
      <c r="N354"/>
      <c r="O354"/>
      <c r="P354"/>
      <c r="Q354"/>
      <c r="R354"/>
    </row>
    <row r="355" spans="1:18" s="7" customFormat="1" ht="41.4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>
        <v>4</v>
      </c>
      <c r="K355" s="11">
        <f t="shared" si="31"/>
        <v>0.37878787878787878</v>
      </c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>
        <v>4</v>
      </c>
      <c r="K356" s="11">
        <f t="shared" si="31"/>
        <v>0.37878787878787878</v>
      </c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>
        <v>3</v>
      </c>
      <c r="K357" s="11">
        <f t="shared" si="31"/>
        <v>0.28409090909090912</v>
      </c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>
        <v>3</v>
      </c>
      <c r="K358" s="11">
        <f t="shared" si="31"/>
        <v>0.28409090909090912</v>
      </c>
      <c r="L358"/>
      <c r="M358"/>
      <c r="N358"/>
      <c r="O358"/>
      <c r="P358"/>
      <c r="Q358"/>
      <c r="R358"/>
    </row>
    <row r="359" spans="1:18" s="2" customFormat="1" ht="41.4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>
        <v>2</v>
      </c>
      <c r="K359" s="11">
        <f t="shared" si="31"/>
        <v>0.18939393939393939</v>
      </c>
      <c r="L359"/>
      <c r="M359"/>
      <c r="N359"/>
      <c r="O359"/>
      <c r="P359"/>
      <c r="Q359"/>
      <c r="R359"/>
    </row>
    <row r="360" spans="1:18" s="2" customFormat="1" ht="41.4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>
        <v>2</v>
      </c>
      <c r="K360" s="11">
        <f t="shared" si="31"/>
        <v>0.18939393939393939</v>
      </c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>
        <v>1</v>
      </c>
      <c r="K361" s="11">
        <f t="shared" si="31"/>
        <v>9.4696969696969696E-2</v>
      </c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41.4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>
        <f>J363/202*100</f>
        <v>1.4851485148514851</v>
      </c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>
        <f t="shared" ref="K364:K365" si="32">J364/202*100</f>
        <v>0.99009900990099009</v>
      </c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>
        <f t="shared" si="32"/>
        <v>0.49504950495049505</v>
      </c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>
        <v>5</v>
      </c>
      <c r="K366" s="17">
        <f>J366/151*100</f>
        <v>3.3112582781456954</v>
      </c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>
        <v>3</v>
      </c>
      <c r="K367" s="17">
        <f>J367/151*100</f>
        <v>1.9867549668874174</v>
      </c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>
        <f>J368/1056*100</f>
        <v>0.47348484848484851</v>
      </c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>
        <f t="shared" ref="K369:K432" si="33">J369/1056*100</f>
        <v>0.47348484848484851</v>
      </c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>
        <f t="shared" si="33"/>
        <v>0.47348484848484851</v>
      </c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>
        <f t="shared" si="33"/>
        <v>0.47348484848484851</v>
      </c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>
        <f t="shared" si="33"/>
        <v>0.37878787878787878</v>
      </c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>
        <f t="shared" si="33"/>
        <v>0.37878787878787878</v>
      </c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>
        <f t="shared" si="33"/>
        <v>0.28409090909090912</v>
      </c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>
        <f t="shared" si="33"/>
        <v>0.18939393939393939</v>
      </c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>
        <f t="shared" si="33"/>
        <v>0.18939393939393939</v>
      </c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>
        <f t="shared" si="33"/>
        <v>0.18939393939393939</v>
      </c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>
        <f t="shared" si="33"/>
        <v>9.4696969696969696E-2</v>
      </c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>
        <v>5</v>
      </c>
      <c r="K379" s="11">
        <f t="shared" si="33"/>
        <v>0.47348484848484851</v>
      </c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>
        <v>5</v>
      </c>
      <c r="K380" s="11">
        <f t="shared" si="33"/>
        <v>0.47348484848484851</v>
      </c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>
        <v>5</v>
      </c>
      <c r="K381" s="11">
        <f t="shared" si="33"/>
        <v>0.47348484848484851</v>
      </c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>
        <v>5</v>
      </c>
      <c r="K382" s="11">
        <f t="shared" si="33"/>
        <v>0.47348484848484851</v>
      </c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>
        <v>5</v>
      </c>
      <c r="K383" s="11">
        <f t="shared" si="33"/>
        <v>0.47348484848484851</v>
      </c>
      <c r="L383"/>
      <c r="M383"/>
      <c r="N383"/>
      <c r="O383"/>
      <c r="P383"/>
      <c r="Q383"/>
      <c r="R383"/>
    </row>
    <row r="384" spans="1:18" s="7" customFormat="1" ht="30.6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>
        <v>5</v>
      </c>
      <c r="K384" s="11">
        <f t="shared" si="33"/>
        <v>0.47348484848484851</v>
      </c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>
        <v>5</v>
      </c>
      <c r="K385" s="11">
        <f t="shared" si="33"/>
        <v>0.47348484848484851</v>
      </c>
      <c r="L385"/>
      <c r="M385"/>
      <c r="N385"/>
      <c r="O385"/>
      <c r="P385"/>
      <c r="Q385"/>
      <c r="R385"/>
    </row>
    <row r="386" spans="1:18" s="7" customFormat="1" ht="30.6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>
        <v>4</v>
      </c>
      <c r="K386" s="11">
        <f t="shared" si="33"/>
        <v>0.37878787878787878</v>
      </c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>
        <v>4</v>
      </c>
      <c r="K387" s="11">
        <f t="shared" si="33"/>
        <v>0.37878787878787878</v>
      </c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>
        <v>4</v>
      </c>
      <c r="K388" s="11">
        <f t="shared" si="33"/>
        <v>0.37878787878787878</v>
      </c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>
        <v>4</v>
      </c>
      <c r="K389" s="11">
        <f t="shared" si="33"/>
        <v>0.37878787878787878</v>
      </c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>
        <v>4</v>
      </c>
      <c r="K390" s="11">
        <f t="shared" si="33"/>
        <v>0.37878787878787878</v>
      </c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>
        <v>4</v>
      </c>
      <c r="K391" s="11">
        <f t="shared" si="33"/>
        <v>0.37878787878787878</v>
      </c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>
        <v>3</v>
      </c>
      <c r="K392" s="11">
        <f t="shared" si="33"/>
        <v>0.28409090909090912</v>
      </c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>
        <v>3</v>
      </c>
      <c r="K393" s="11">
        <f t="shared" si="33"/>
        <v>0.28409090909090912</v>
      </c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>
        <v>3</v>
      </c>
      <c r="K394" s="11">
        <f t="shared" si="33"/>
        <v>0.28409090909090912</v>
      </c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>
        <v>3</v>
      </c>
      <c r="K395" s="11">
        <f t="shared" si="33"/>
        <v>0.28409090909090912</v>
      </c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>
        <v>2</v>
      </c>
      <c r="K396" s="11">
        <f t="shared" si="33"/>
        <v>0.18939393939393939</v>
      </c>
      <c r="L396"/>
      <c r="M396"/>
      <c r="N396"/>
      <c r="O396"/>
      <c r="P396"/>
      <c r="Q396"/>
      <c r="R396"/>
    </row>
    <row r="397" spans="1:18" s="7" customFormat="1" ht="30.6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>
        <v>2</v>
      </c>
      <c r="K397" s="11">
        <f t="shared" si="33"/>
        <v>0.18939393939393939</v>
      </c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>
        <v>2</v>
      </c>
      <c r="K398" s="11">
        <f t="shared" si="33"/>
        <v>0.18939393939393939</v>
      </c>
      <c r="L398"/>
      <c r="M398"/>
      <c r="N398"/>
      <c r="O398"/>
      <c r="P398"/>
      <c r="Q398"/>
      <c r="R398"/>
    </row>
    <row r="399" spans="1:18" s="7" customFormat="1" ht="30.6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>
        <v>2</v>
      </c>
      <c r="K399" s="11">
        <f t="shared" si="33"/>
        <v>0.18939393939393939</v>
      </c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>
        <v>5</v>
      </c>
      <c r="K400" s="11">
        <f t="shared" si="33"/>
        <v>0.47348484848484851</v>
      </c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>
        <v>5</v>
      </c>
      <c r="K401" s="11">
        <f t="shared" si="33"/>
        <v>0.47348484848484851</v>
      </c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>
        <v>5</v>
      </c>
      <c r="K402" s="11">
        <f t="shared" si="33"/>
        <v>0.47348484848484851</v>
      </c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>
        <v>5</v>
      </c>
      <c r="K403" s="11">
        <f t="shared" si="33"/>
        <v>0.47348484848484851</v>
      </c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>
        <v>5</v>
      </c>
      <c r="K404" s="11">
        <f t="shared" si="33"/>
        <v>0.47348484848484851</v>
      </c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>
        <v>5</v>
      </c>
      <c r="K405" s="11">
        <f t="shared" si="33"/>
        <v>0.47348484848484851</v>
      </c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>
        <v>4</v>
      </c>
      <c r="K406" s="11">
        <f t="shared" si="33"/>
        <v>0.37878787878787878</v>
      </c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>
        <v>4</v>
      </c>
      <c r="K407" s="11">
        <f t="shared" si="33"/>
        <v>0.37878787878787878</v>
      </c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>
        <v>4</v>
      </c>
      <c r="K408" s="11">
        <f t="shared" si="33"/>
        <v>0.37878787878787878</v>
      </c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>
        <v>4</v>
      </c>
      <c r="K409" s="11">
        <f t="shared" si="33"/>
        <v>0.37878787878787878</v>
      </c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>
        <v>4</v>
      </c>
      <c r="K410" s="11">
        <f t="shared" si="33"/>
        <v>0.37878787878787878</v>
      </c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>
        <v>3</v>
      </c>
      <c r="K411" s="11">
        <f t="shared" si="33"/>
        <v>0.28409090909090912</v>
      </c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>
        <v>3</v>
      </c>
      <c r="K412" s="11">
        <f t="shared" si="33"/>
        <v>0.28409090909090912</v>
      </c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>
        <v>3</v>
      </c>
      <c r="K413" s="11">
        <f t="shared" si="33"/>
        <v>0.28409090909090912</v>
      </c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>
        <v>3</v>
      </c>
      <c r="K414" s="11">
        <f t="shared" si="33"/>
        <v>0.28409090909090912</v>
      </c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>
        <v>3</v>
      </c>
      <c r="K415" s="11">
        <f t="shared" si="33"/>
        <v>0.28409090909090912</v>
      </c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>
        <v>2</v>
      </c>
      <c r="K416" s="11">
        <f t="shared" si="33"/>
        <v>0.18939393939393939</v>
      </c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>
        <v>2</v>
      </c>
      <c r="K417" s="11">
        <f t="shared" si="33"/>
        <v>0.18939393939393939</v>
      </c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>
        <v>1</v>
      </c>
      <c r="K418" s="11">
        <f t="shared" si="33"/>
        <v>9.4696969696969696E-2</v>
      </c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>
        <v>5</v>
      </c>
      <c r="K419" s="11">
        <f t="shared" si="33"/>
        <v>0.47348484848484851</v>
      </c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>
        <v>5</v>
      </c>
      <c r="K420" s="11">
        <f t="shared" si="33"/>
        <v>0.47348484848484851</v>
      </c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>
        <v>5</v>
      </c>
      <c r="K421" s="11">
        <f t="shared" si="33"/>
        <v>0.47348484848484851</v>
      </c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>
        <v>5</v>
      </c>
      <c r="K422" s="11">
        <f t="shared" si="33"/>
        <v>0.47348484848484851</v>
      </c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>
        <v>5</v>
      </c>
      <c r="K423" s="11">
        <f t="shared" si="33"/>
        <v>0.47348484848484851</v>
      </c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>
        <v>4</v>
      </c>
      <c r="K424" s="11">
        <f t="shared" si="33"/>
        <v>0.37878787878787878</v>
      </c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>
        <v>4</v>
      </c>
      <c r="K425" s="11">
        <f t="shared" si="33"/>
        <v>0.37878787878787878</v>
      </c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>
        <v>4</v>
      </c>
      <c r="K426" s="11">
        <f t="shared" si="33"/>
        <v>0.37878787878787878</v>
      </c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>
        <v>3</v>
      </c>
      <c r="K427" s="11">
        <f t="shared" si="33"/>
        <v>0.28409090909090912</v>
      </c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>
        <v>3</v>
      </c>
      <c r="K428" s="11">
        <f t="shared" si="33"/>
        <v>0.28409090909090912</v>
      </c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>
        <v>3</v>
      </c>
      <c r="K429" s="11">
        <f t="shared" si="33"/>
        <v>0.28409090909090912</v>
      </c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>
        <v>2</v>
      </c>
      <c r="K430" s="11">
        <f t="shared" si="33"/>
        <v>0.18939393939393939</v>
      </c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>
        <v>2</v>
      </c>
      <c r="K431" s="11">
        <f t="shared" si="33"/>
        <v>0.18939393939393939</v>
      </c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>
        <v>1</v>
      </c>
      <c r="K432" s="11">
        <f t="shared" si="33"/>
        <v>9.4696969696969696E-2</v>
      </c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>
        <v>1</v>
      </c>
      <c r="K433" s="11">
        <f t="shared" ref="K433:K453" si="34">J433/1056*100</f>
        <v>9.4696969696969696E-2</v>
      </c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>
        <v>5</v>
      </c>
      <c r="K434" s="11">
        <f t="shared" si="34"/>
        <v>0.47348484848484851</v>
      </c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>
        <v>5</v>
      </c>
      <c r="K435" s="11">
        <f t="shared" si="34"/>
        <v>0.47348484848484851</v>
      </c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>
        <v>5</v>
      </c>
      <c r="K436" s="11">
        <f t="shared" si="34"/>
        <v>0.47348484848484851</v>
      </c>
      <c r="L436"/>
      <c r="M436"/>
      <c r="N436"/>
      <c r="O436"/>
      <c r="P436"/>
      <c r="Q436"/>
      <c r="R436"/>
    </row>
    <row r="437" spans="1:18" s="7" customFormat="1" ht="30.6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>
        <v>4</v>
      </c>
      <c r="K437" s="11">
        <f t="shared" si="34"/>
        <v>0.37878787878787878</v>
      </c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>
        <v>4</v>
      </c>
      <c r="K438" s="11">
        <f t="shared" si="34"/>
        <v>0.37878787878787878</v>
      </c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>
        <v>4</v>
      </c>
      <c r="K439" s="11">
        <f t="shared" si="34"/>
        <v>0.37878787878787878</v>
      </c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>
        <v>4</v>
      </c>
      <c r="K440" s="11">
        <f t="shared" si="34"/>
        <v>0.37878787878787878</v>
      </c>
      <c r="L440"/>
      <c r="M440"/>
      <c r="N440"/>
      <c r="O440"/>
      <c r="P440"/>
      <c r="Q440"/>
      <c r="R440"/>
    </row>
    <row r="441" spans="1:18" s="7" customFormat="1" ht="30.6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>
        <v>4</v>
      </c>
      <c r="K441" s="11">
        <f t="shared" si="34"/>
        <v>0.37878787878787878</v>
      </c>
      <c r="L441"/>
      <c r="M441"/>
      <c r="N441"/>
      <c r="O441"/>
      <c r="P441"/>
      <c r="Q441"/>
      <c r="R441"/>
    </row>
    <row r="442" spans="1:18" s="7" customFormat="1" ht="30.6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>
        <v>4</v>
      </c>
      <c r="K442" s="11">
        <f t="shared" si="34"/>
        <v>0.37878787878787878</v>
      </c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>
        <v>3</v>
      </c>
      <c r="K443" s="11">
        <f t="shared" si="34"/>
        <v>0.28409090909090912</v>
      </c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>
        <v>3</v>
      </c>
      <c r="K444" s="11">
        <f t="shared" si="34"/>
        <v>0.28409090909090912</v>
      </c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>
        <v>3</v>
      </c>
      <c r="K445" s="11">
        <f t="shared" si="34"/>
        <v>0.28409090909090912</v>
      </c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>
        <v>3</v>
      </c>
      <c r="K446" s="11">
        <f t="shared" si="34"/>
        <v>0.28409090909090912</v>
      </c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>
        <v>3</v>
      </c>
      <c r="K447" s="11">
        <f t="shared" si="34"/>
        <v>0.28409090909090912</v>
      </c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>
        <v>3</v>
      </c>
      <c r="K448" s="11">
        <f t="shared" si="34"/>
        <v>0.28409090909090912</v>
      </c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>
        <v>3</v>
      </c>
      <c r="K449" s="11">
        <f t="shared" si="34"/>
        <v>0.28409090909090912</v>
      </c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>
        <v>2</v>
      </c>
      <c r="K450" s="11">
        <f t="shared" si="34"/>
        <v>0.18939393939393939</v>
      </c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>
        <v>2</v>
      </c>
      <c r="K451" s="11">
        <f t="shared" si="34"/>
        <v>0.18939393939393939</v>
      </c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>
        <v>2</v>
      </c>
      <c r="K452" s="11">
        <f t="shared" si="34"/>
        <v>0.18939393939393939</v>
      </c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>
        <v>1</v>
      </c>
      <c r="K453" s="11">
        <f t="shared" si="34"/>
        <v>9.4696969696969696E-2</v>
      </c>
      <c r="L453"/>
      <c r="M453"/>
      <c r="N453"/>
      <c r="O453"/>
      <c r="P453"/>
      <c r="Q453"/>
      <c r="R453"/>
    </row>
  </sheetData>
  <autoFilter ref="A11:K453" xr:uid="{37567D58-CA67-4504-A4BC-BC0ED48E61B2}"/>
  <mergeCells count="34">
    <mergeCell ref="P28:Y29"/>
    <mergeCell ref="P30:Y31"/>
    <mergeCell ref="P32:Y33"/>
    <mergeCell ref="AD17:AM18"/>
    <mergeCell ref="AD19:AM20"/>
    <mergeCell ref="AD21:AM22"/>
    <mergeCell ref="M24:Y24"/>
    <mergeCell ref="P25:Y25"/>
    <mergeCell ref="P26:Y27"/>
    <mergeCell ref="AD15:AM16"/>
    <mergeCell ref="AS14:BB14"/>
    <mergeCell ref="AS15:BB16"/>
    <mergeCell ref="P19:Y20"/>
    <mergeCell ref="P21:Y22"/>
    <mergeCell ref="AS17:BB18"/>
    <mergeCell ref="AS19:BB20"/>
    <mergeCell ref="AS21:BB22"/>
    <mergeCell ref="P15:Y16"/>
    <mergeCell ref="P17:Y18"/>
    <mergeCell ref="M13:Y13"/>
    <mergeCell ref="AA13:AN13"/>
    <mergeCell ref="AP13:BI13"/>
    <mergeCell ref="P14:Y14"/>
    <mergeCell ref="AD14:AM14"/>
    <mergeCell ref="M7:Y7"/>
    <mergeCell ref="AA7:AN7"/>
    <mergeCell ref="AP7:BI7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AF3E-0BCF-4DCC-894C-343F1DEFFB12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940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183</v>
      </c>
      <c r="O5" s="27">
        <f>N5/202*100</f>
        <v>90.594059405940598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16</v>
      </c>
      <c r="U5" s="27">
        <f>SUM(J197:J204)</f>
        <v>26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471</v>
      </c>
      <c r="AR5" s="46">
        <f>AQ5/1056*100</f>
        <v>44.602272727272727</v>
      </c>
      <c r="AS5" s="46">
        <f>SUM(J45:J58)</f>
        <v>52</v>
      </c>
      <c r="AT5" s="46">
        <f>SUM(J80:J96)</f>
        <v>63</v>
      </c>
      <c r="AU5" s="46">
        <f>SUM(J109:J127)</f>
        <v>71</v>
      </c>
      <c r="AV5" s="46">
        <f>SUM(J146:J163)</f>
        <v>73</v>
      </c>
      <c r="AW5" s="46">
        <f>SUM(J172:J190)</f>
        <v>0</v>
      </c>
      <c r="AX5" s="46">
        <f>SUM(J208:J226)</f>
        <v>63</v>
      </c>
      <c r="AY5" s="46">
        <f>SUM(J232:J246)</f>
        <v>44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67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654</v>
      </c>
      <c r="T11" s="83"/>
      <c r="U11" s="84"/>
      <c r="V11" s="50"/>
      <c r="W11" s="82">
        <f>(AR5+AC5+O5)/3</f>
        <v>45.065444044404444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>
        <v>5</v>
      </c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>
        <v>5</v>
      </c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>
        <v>5</v>
      </c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>
        <v>5</v>
      </c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>
        <v>4</v>
      </c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>
        <v>4</v>
      </c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>
        <v>4</v>
      </c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>
        <v>4</v>
      </c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>
        <v>3</v>
      </c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>
        <v>3</v>
      </c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>
        <v>3</v>
      </c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>
        <v>3</v>
      </c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>
        <v>2</v>
      </c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>
        <v>2</v>
      </c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>
        <v>5</v>
      </c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>
        <v>5</v>
      </c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>
        <v>5</v>
      </c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>
        <v>5</v>
      </c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>
        <v>5</v>
      </c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>
        <v>4</v>
      </c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>
        <v>4</v>
      </c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>
        <v>4</v>
      </c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>
        <v>4</v>
      </c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>
        <v>4</v>
      </c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>
        <v>4</v>
      </c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>
        <v>4</v>
      </c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>
        <v>3</v>
      </c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>
        <v>3</v>
      </c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>
        <v>3</v>
      </c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>
        <v>3</v>
      </c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>
        <v>2</v>
      </c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>
        <v>2</v>
      </c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>
        <v>2</v>
      </c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>
        <v>1</v>
      </c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>
        <v>1</v>
      </c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>
        <v>5</v>
      </c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>
        <v>5</v>
      </c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>
        <v>5</v>
      </c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>
        <v>5</v>
      </c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>
        <v>5</v>
      </c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>
        <v>4</v>
      </c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>
        <v>4</v>
      </c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>
        <v>4</v>
      </c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>
        <v>4</v>
      </c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>
        <v>4</v>
      </c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>
        <v>4</v>
      </c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>
        <v>3</v>
      </c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>
        <v>3</v>
      </c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>
        <v>2</v>
      </c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>
        <v>2</v>
      </c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>
        <v>1</v>
      </c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>
        <v>1</v>
      </c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>
        <v>1</v>
      </c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>
        <v>1</v>
      </c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/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>
        <v>5</v>
      </c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>
        <v>5</v>
      </c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>
        <v>5</v>
      </c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>
        <v>4</v>
      </c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>
        <v>4</v>
      </c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>
        <v>4</v>
      </c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>
        <v>4</v>
      </c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>
        <v>4</v>
      </c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>
        <v>4</v>
      </c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>
        <v>3</v>
      </c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>
        <v>3</v>
      </c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>
        <v>3</v>
      </c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>
        <v>3</v>
      </c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>
        <v>3</v>
      </c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>
        <v>3</v>
      </c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>
        <v>3</v>
      </c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>
        <v>2</v>
      </c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>
        <v>2</v>
      </c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>
        <v>2</v>
      </c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>
        <v>1</v>
      </c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39D7-C61E-4D4D-90F3-21AC6E705500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941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181</v>
      </c>
      <c r="O5" s="27">
        <f>N5/202*100</f>
        <v>89.603960396039611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14</v>
      </c>
      <c r="U5" s="27">
        <f>SUM(J197:J204)</f>
        <v>26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251</v>
      </c>
      <c r="AR5" s="46">
        <f>AQ5/1056*100</f>
        <v>23.768939393939394</v>
      </c>
      <c r="AS5" s="46">
        <f>SUM(J45:J58)</f>
        <v>0</v>
      </c>
      <c r="AT5" s="46">
        <f>SUM(J80:J96)</f>
        <v>0</v>
      </c>
      <c r="AU5" s="46">
        <f>SUM(J109:J127)</f>
        <v>0</v>
      </c>
      <c r="AV5" s="46">
        <f>SUM(J146:J163)</f>
        <v>73</v>
      </c>
      <c r="AW5" s="46">
        <f>SUM(J172:J190)</f>
        <v>70</v>
      </c>
      <c r="AX5" s="46">
        <f>SUM(J208:J226)</f>
        <v>0</v>
      </c>
      <c r="AY5" s="46">
        <f>SUM(J232:J246)</f>
        <v>0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70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432</v>
      </c>
      <c r="T11" s="83"/>
      <c r="U11" s="84"/>
      <c r="V11" s="50"/>
      <c r="W11" s="82">
        <f>(AR5+AC5+O5)/3</f>
        <v>37.790966596659665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/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/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/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/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/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/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/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/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/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/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/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/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/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/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/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/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/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/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/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/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/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/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/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/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/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/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/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/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/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/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/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/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/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/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/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/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/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/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>
        <v>5</v>
      </c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>
        <v>5</v>
      </c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>
        <v>5</v>
      </c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>
        <v>5</v>
      </c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>
        <v>5</v>
      </c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>
        <v>5</v>
      </c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>
        <v>5</v>
      </c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>
        <v>4</v>
      </c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>
        <v>4</v>
      </c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>
        <v>4</v>
      </c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>
        <v>4</v>
      </c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>
        <v>4</v>
      </c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>
        <v>4</v>
      </c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>
        <v>3</v>
      </c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>
        <v>2</v>
      </c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>
        <v>2</v>
      </c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>
        <v>2</v>
      </c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>
        <v>1</v>
      </c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>
        <v>1</v>
      </c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/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/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/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/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/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/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/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/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/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/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/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/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/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/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/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>
        <v>5</v>
      </c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>
        <v>5</v>
      </c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>
        <v>5</v>
      </c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>
        <v>5</v>
      </c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>
        <v>5</v>
      </c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>
        <v>5</v>
      </c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>
        <v>4</v>
      </c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>
        <v>4</v>
      </c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>
        <v>4</v>
      </c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>
        <v>4</v>
      </c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>
        <v>4</v>
      </c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>
        <v>3</v>
      </c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>
        <v>3</v>
      </c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>
        <v>3</v>
      </c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>
        <v>3</v>
      </c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>
        <v>3</v>
      </c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>
        <v>2</v>
      </c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>
        <v>2</v>
      </c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>
        <v>1</v>
      </c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234E-A74F-4FE1-92E4-CACF3B446447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959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176</v>
      </c>
      <c r="O5" s="27">
        <f>N5/202*100</f>
        <v>87.128712871287135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9</v>
      </c>
      <c r="U5" s="27">
        <f>SUM(J197:J204)</f>
        <v>26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338</v>
      </c>
      <c r="AR5" s="46">
        <f>AQ5/1056*100</f>
        <v>32.007575757575758</v>
      </c>
      <c r="AS5" s="46">
        <f>SUM(J45:J58)</f>
        <v>0</v>
      </c>
      <c r="AT5" s="46">
        <f>SUM(J80:J96)</f>
        <v>63</v>
      </c>
      <c r="AU5" s="46">
        <f>SUM(J109:J127)</f>
        <v>0</v>
      </c>
      <c r="AV5" s="46">
        <f>SUM(J146:J163)</f>
        <v>73</v>
      </c>
      <c r="AW5" s="46">
        <f>SUM(J172:J190)</f>
        <v>0</v>
      </c>
      <c r="AX5" s="46">
        <f>SUM(J208:J226)</f>
        <v>0</v>
      </c>
      <c r="AY5" s="46">
        <f>SUM(J232:J246)</f>
        <v>45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52</v>
      </c>
      <c r="BI5" s="46">
        <f>SUM(J434:J453)</f>
        <v>67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514</v>
      </c>
      <c r="T11" s="83"/>
      <c r="U11" s="84"/>
      <c r="V11" s="50"/>
      <c r="W11" s="82">
        <f>(AR5+AC5+O5)/3</f>
        <v>39.712096209620967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/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/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/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/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/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/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/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/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/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/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/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/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/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/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/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/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/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/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/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/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/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/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/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>
        <v>1</v>
      </c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>
        <v>5</v>
      </c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>
        <v>5</v>
      </c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>
        <v>5</v>
      </c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>
        <v>5</v>
      </c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>
        <v>5</v>
      </c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>
        <v>4</v>
      </c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>
        <v>4</v>
      </c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>
        <v>4</v>
      </c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>
        <v>3</v>
      </c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>
        <v>3</v>
      </c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>
        <v>3</v>
      </c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>
        <v>2</v>
      </c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>
        <v>2</v>
      </c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>
        <v>1</v>
      </c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>
        <v>1</v>
      </c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>
        <v>5</v>
      </c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>
        <v>5</v>
      </c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>
        <v>5</v>
      </c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>
        <v>4</v>
      </c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>
        <v>4</v>
      </c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>
        <v>4</v>
      </c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>
        <v>4</v>
      </c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>
        <v>4</v>
      </c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>
        <v>4</v>
      </c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>
        <v>3</v>
      </c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>
        <v>3</v>
      </c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>
        <v>3</v>
      </c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>
        <v>3</v>
      </c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>
        <v>3</v>
      </c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>
        <v>3</v>
      </c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>
        <v>3</v>
      </c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>
        <v>2</v>
      </c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>
        <v>2</v>
      </c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>
        <v>2</v>
      </c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>
        <v>1</v>
      </c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D769-FDEF-4BAB-924E-178A262FB4CB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958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173</v>
      </c>
      <c r="O5" s="27">
        <f>N5/202*100</f>
        <v>85.643564356435647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6</v>
      </c>
      <c r="U5" s="27">
        <f>SUM(J197:J204)</f>
        <v>26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174</v>
      </c>
      <c r="AR5" s="46">
        <f>AQ5/1056*100</f>
        <v>16.477272727272727</v>
      </c>
      <c r="AS5" s="46">
        <f>SUM(J45:J58)</f>
        <v>0</v>
      </c>
      <c r="AT5" s="46">
        <f>SUM(J80:J96)</f>
        <v>63</v>
      </c>
      <c r="AU5" s="46">
        <f>SUM(J109:J127)</f>
        <v>0</v>
      </c>
      <c r="AV5" s="46">
        <f>SUM(J146:J163)</f>
        <v>73</v>
      </c>
      <c r="AW5" s="46">
        <f>SUM(J172:J190)</f>
        <v>0</v>
      </c>
      <c r="AX5" s="46">
        <f>SUM(J208:J226)</f>
        <v>0</v>
      </c>
      <c r="AY5" s="46">
        <f>SUM(J232:J246)</f>
        <v>0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347</v>
      </c>
      <c r="T11" s="83"/>
      <c r="U11" s="84"/>
      <c r="V11" s="50"/>
      <c r="W11" s="82">
        <f>(AR5+AC5+O5)/3</f>
        <v>34.040279027902791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/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/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/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/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/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/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/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/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/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/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/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/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/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/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/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/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/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/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/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/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/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/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/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/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/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/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/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/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/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/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/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/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/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/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/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/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/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/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/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7C16-EC68-46C3-A04F-68FC000797CE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957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171</v>
      </c>
      <c r="O5" s="27">
        <f>N5/202*100</f>
        <v>84.653465346534645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16</v>
      </c>
      <c r="U5" s="27">
        <f>SUM(J197:J204)</f>
        <v>14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245</v>
      </c>
      <c r="AR5" s="46">
        <f>AQ5/1056*100</f>
        <v>23.200757575757574</v>
      </c>
      <c r="AS5" s="46">
        <f>SUM(J45:J58)</f>
        <v>0</v>
      </c>
      <c r="AT5" s="46">
        <f>SUM(J80:J96)</f>
        <v>63</v>
      </c>
      <c r="AU5" s="46">
        <f>SUM(J109:J127)</f>
        <v>71</v>
      </c>
      <c r="AV5" s="46">
        <f>SUM(J146:J163)</f>
        <v>73</v>
      </c>
      <c r="AW5" s="46">
        <f>SUM(J172:J190)</f>
        <v>0</v>
      </c>
      <c r="AX5" s="46">
        <f>SUM(J208:J226)</f>
        <v>0</v>
      </c>
      <c r="AY5" s="46">
        <f>SUM(J232:J246)</f>
        <v>0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416</v>
      </c>
      <c r="T11" s="83"/>
      <c r="U11" s="84"/>
      <c r="V11" s="50"/>
      <c r="W11" s="82">
        <f>(AR5+AC5+O5)/3</f>
        <v>35.951407640764074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>
        <v>5</v>
      </c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>
        <v>5</v>
      </c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>
        <v>5</v>
      </c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>
        <v>5</v>
      </c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>
        <v>5</v>
      </c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>
        <v>4</v>
      </c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>
        <v>4</v>
      </c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>
        <v>4</v>
      </c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>
        <v>4</v>
      </c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>
        <v>4</v>
      </c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>
        <v>4</v>
      </c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>
        <v>4</v>
      </c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>
        <v>3</v>
      </c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>
        <v>3</v>
      </c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>
        <v>3</v>
      </c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>
        <v>3</v>
      </c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>
        <v>2</v>
      </c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>
        <v>2</v>
      </c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>
        <v>2</v>
      </c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>
        <v>1</v>
      </c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>
        <v>1</v>
      </c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/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/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/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/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/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/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/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/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/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/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/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/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/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/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/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/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/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/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/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/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CADE-71ED-4E0B-AF07-5E0DB88B7D49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956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168</v>
      </c>
      <c r="O5" s="27">
        <f>N5/202*100</f>
        <v>83.168316831683171</v>
      </c>
      <c r="P5" s="27">
        <f>SUM(J14:J44)</f>
        <v>50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16</v>
      </c>
      <c r="U5" s="27">
        <f>SUM(J197:J204)</f>
        <v>14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128</v>
      </c>
      <c r="AC5" s="37">
        <f>AB5/152*100</f>
        <v>84.210526315789465</v>
      </c>
      <c r="AD5" s="37">
        <f>SUM(J74:J79)</f>
        <v>30</v>
      </c>
      <c r="AE5" s="37">
        <f>SUM(J105:J108)</f>
        <v>14</v>
      </c>
      <c r="AF5" s="37">
        <f>SUM(J205:J207)</f>
        <v>8</v>
      </c>
      <c r="AG5" s="37">
        <f>SUM(J229:J231)</f>
        <v>13</v>
      </c>
      <c r="AH5" s="37">
        <f>SUM(J248:J250)</f>
        <v>5</v>
      </c>
      <c r="AI5" s="37">
        <f>SUM(J268:J271)</f>
        <v>9</v>
      </c>
      <c r="AJ5" s="37">
        <f>SUM(J290:J294)</f>
        <v>19</v>
      </c>
      <c r="AK5" s="37">
        <f>SUM(J315:J318)</f>
        <v>10</v>
      </c>
      <c r="AL5" s="37">
        <f>SUM(J341:J347)</f>
        <v>15</v>
      </c>
      <c r="AM5" s="37">
        <f>SUM(J366:J367)</f>
        <v>5</v>
      </c>
      <c r="AN5" s="34" t="s">
        <v>921</v>
      </c>
      <c r="AP5" s="45">
        <v>1056</v>
      </c>
      <c r="AQ5" s="46">
        <f>SUM(AS5:BI5)</f>
        <v>289</v>
      </c>
      <c r="AR5" s="46">
        <f>AQ5/1056*100</f>
        <v>27.367424242424242</v>
      </c>
      <c r="AS5" s="46">
        <f>SUM(J45:J58)</f>
        <v>0</v>
      </c>
      <c r="AT5" s="46">
        <f>SUM(J80:J96)</f>
        <v>63</v>
      </c>
      <c r="AU5" s="46">
        <f>SUM(J109:J127)</f>
        <v>0</v>
      </c>
      <c r="AV5" s="46">
        <f>SUM(J146:J163)</f>
        <v>73</v>
      </c>
      <c r="AW5" s="46">
        <f>SUM(J172:J190)</f>
        <v>70</v>
      </c>
      <c r="AX5" s="46">
        <f>SUM(J208:J226)</f>
        <v>0</v>
      </c>
      <c r="AY5" s="46">
        <f>SUM(J232:J246)</f>
        <v>45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585</v>
      </c>
      <c r="T11" s="83"/>
      <c r="U11" s="84"/>
      <c r="V11" s="50"/>
      <c r="W11" s="82">
        <f>(AR5+AC5+O5)/3</f>
        <v>64.915422463298952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/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/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/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 t="s">
        <v>17</v>
      </c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 t="s">
        <v>17</v>
      </c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>
        <v>5</v>
      </c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>
        <v>5</v>
      </c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>
        <v>5</v>
      </c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>
        <v>5</v>
      </c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>
        <v>5</v>
      </c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>
        <v>5</v>
      </c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 t="s">
        <v>17</v>
      </c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>
        <v>5</v>
      </c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>
        <v>3</v>
      </c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>
        <v>3</v>
      </c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>
        <v>3</v>
      </c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/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/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/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/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/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/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/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/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/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/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/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/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/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/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/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/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/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/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/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>
        <v>1</v>
      </c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>
        <v>1</v>
      </c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>
        <v>5</v>
      </c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>
        <v>5</v>
      </c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>
        <v>5</v>
      </c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>
        <v>5</v>
      </c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>
        <v>5</v>
      </c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>
        <v>5</v>
      </c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>
        <v>5</v>
      </c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>
        <v>4</v>
      </c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>
        <v>4</v>
      </c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>
        <v>4</v>
      </c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>
        <v>4</v>
      </c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>
        <v>4</v>
      </c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>
        <v>4</v>
      </c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>
        <v>3</v>
      </c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>
        <v>2</v>
      </c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>
        <v>2</v>
      </c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>
        <v>2</v>
      </c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>
        <v>1</v>
      </c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>
        <v>1</v>
      </c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 t="s">
        <v>17</v>
      </c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/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/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/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/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/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>
        <v>4</v>
      </c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>
        <v>4</v>
      </c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 t="s">
        <v>17</v>
      </c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>
        <v>5</v>
      </c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>
        <v>4</v>
      </c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>
        <v>4</v>
      </c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>
        <v>1</v>
      </c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 t="s">
        <v>17</v>
      </c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>
        <v>5</v>
      </c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 t="s">
        <v>17</v>
      </c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>
        <v>5</v>
      </c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>
        <v>4</v>
      </c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 t="s">
        <v>17</v>
      </c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>
        <v>5</v>
      </c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>
        <v>5</v>
      </c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>
        <v>4</v>
      </c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>
        <v>3</v>
      </c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>
        <v>2</v>
      </c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 t="s">
        <v>17</v>
      </c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>
        <v>4</v>
      </c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>
        <v>3</v>
      </c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>
        <v>2</v>
      </c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>
        <v>1</v>
      </c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 t="s">
        <v>17</v>
      </c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>
        <v>5</v>
      </c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>
        <v>4</v>
      </c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>
        <v>3</v>
      </c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>
        <v>3</v>
      </c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>
        <v>5</v>
      </c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FD51-40C7-473C-A733-9D85B9099A4C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955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131</v>
      </c>
      <c r="O5" s="27">
        <f>N5/202*100</f>
        <v>64.851485148514854</v>
      </c>
      <c r="P5" s="27">
        <f>SUM(J14:J44)</f>
        <v>38</v>
      </c>
      <c r="Q5" s="27">
        <f>SUM(J68:J73)</f>
        <v>16</v>
      </c>
      <c r="R5" s="27">
        <f>SUM(J102:J104)</f>
        <v>9</v>
      </c>
      <c r="S5" s="27">
        <f>SUM(J133:J145)</f>
        <v>36</v>
      </c>
      <c r="T5" s="27">
        <f>SUM(J165:J171)</f>
        <v>0</v>
      </c>
      <c r="U5" s="27">
        <f>SUM(J197:J204)</f>
        <v>26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141</v>
      </c>
      <c r="AC5" s="37">
        <f>AB5/152*100</f>
        <v>92.76315789473685</v>
      </c>
      <c r="AD5" s="37">
        <f>SUM(J74:J79)</f>
        <v>30</v>
      </c>
      <c r="AE5" s="37">
        <f>SUM(J105:J108)</f>
        <v>14</v>
      </c>
      <c r="AF5" s="37">
        <f>SUM(J205:J207)</f>
        <v>11</v>
      </c>
      <c r="AG5" s="37">
        <f>SUM(J229:J231)</f>
        <v>13</v>
      </c>
      <c r="AH5" s="37">
        <f>SUM(J248:J250)</f>
        <v>5</v>
      </c>
      <c r="AI5" s="37">
        <f>SUM(J268:J271)</f>
        <v>15</v>
      </c>
      <c r="AJ5" s="37">
        <f>SUM(J290:J294)</f>
        <v>19</v>
      </c>
      <c r="AK5" s="37">
        <f>SUM(J315:J318)</f>
        <v>7</v>
      </c>
      <c r="AL5" s="37">
        <f>SUM(J341:J347)</f>
        <v>22</v>
      </c>
      <c r="AM5" s="37">
        <f>SUM(J366:J367)</f>
        <v>5</v>
      </c>
      <c r="AN5" s="34" t="s">
        <v>921</v>
      </c>
      <c r="AP5" s="45">
        <v>1056</v>
      </c>
      <c r="AQ5" s="46">
        <f>SUM(AS5:BI5)</f>
        <v>217</v>
      </c>
      <c r="AR5" s="46">
        <f>AQ5/1056*100</f>
        <v>20.549242424242426</v>
      </c>
      <c r="AS5" s="46">
        <f>SUM(J45:J58)</f>
        <v>0</v>
      </c>
      <c r="AT5" s="46">
        <f>SUM(J80:J96)</f>
        <v>63</v>
      </c>
      <c r="AU5" s="46">
        <f>SUM(J109:J127)</f>
        <v>71</v>
      </c>
      <c r="AV5" s="46">
        <f>SUM(J146:J163)</f>
        <v>0</v>
      </c>
      <c r="AW5" s="46">
        <f>SUM(J172:J190)</f>
        <v>0</v>
      </c>
      <c r="AX5" s="46">
        <f>SUM(J208:J226)</f>
        <v>0</v>
      </c>
      <c r="AY5" s="46">
        <f>SUM(J232:J246)</f>
        <v>45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489</v>
      </c>
      <c r="T11" s="83"/>
      <c r="U11" s="84"/>
      <c r="V11" s="50"/>
      <c r="W11" s="82">
        <f>(AR5+AC5+O5)/3</f>
        <v>59.387961822498049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/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/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/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/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/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/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/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/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/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/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/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/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/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/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/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 t="s">
        <v>17</v>
      </c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 t="s">
        <v>17</v>
      </c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>
        <v>5</v>
      </c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>
        <v>5</v>
      </c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>
        <v>5</v>
      </c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>
        <v>5</v>
      </c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>
        <v>5</v>
      </c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>
        <v>5</v>
      </c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 t="s">
        <v>17</v>
      </c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/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>
        <v>5</v>
      </c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>
        <v>3</v>
      </c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>
        <v>3</v>
      </c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>
        <v>3</v>
      </c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>
        <v>5</v>
      </c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>
        <v>5</v>
      </c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>
        <v>5</v>
      </c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>
        <v>5</v>
      </c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>
        <v>5</v>
      </c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>
        <v>4</v>
      </c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>
        <v>4</v>
      </c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>
        <v>4</v>
      </c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>
        <v>4</v>
      </c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>
        <v>4</v>
      </c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>
        <v>4</v>
      </c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>
        <v>4</v>
      </c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>
        <v>3</v>
      </c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>
        <v>3</v>
      </c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>
        <v>3</v>
      </c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>
        <v>3</v>
      </c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>
        <v>2</v>
      </c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>
        <v>2</v>
      </c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>
        <v>2</v>
      </c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/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/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/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/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/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/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/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/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/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/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/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/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/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/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/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/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/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/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/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/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/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/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/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/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/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/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/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/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/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/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/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/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/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/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 t="s">
        <v>17</v>
      </c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>
        <v>4</v>
      </c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>
        <v>4</v>
      </c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>
        <v>3</v>
      </c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 t="s">
        <v>17</v>
      </c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>
        <v>5</v>
      </c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>
        <v>4</v>
      </c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>
        <v>4</v>
      </c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>
        <v>1</v>
      </c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 t="s">
        <v>17</v>
      </c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>
        <v>5</v>
      </c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 t="s">
        <v>17</v>
      </c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>
        <v>5</v>
      </c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>
        <v>4</v>
      </c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>
        <v>3</v>
      </c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>
        <v>3</v>
      </c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 t="s">
        <v>17</v>
      </c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>
        <v>5</v>
      </c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>
        <v>5</v>
      </c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>
        <v>4</v>
      </c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>
        <v>3</v>
      </c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>
        <v>2</v>
      </c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 t="s">
        <v>17</v>
      </c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>
        <v>4</v>
      </c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>
        <v>3</v>
      </c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 t="s">
        <v>17</v>
      </c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>
        <v>5</v>
      </c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>
        <v>4</v>
      </c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>
        <v>3</v>
      </c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>
        <v>3</v>
      </c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>
        <v>3</v>
      </c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>
        <v>2</v>
      </c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>
        <v>2</v>
      </c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>
        <v>5</v>
      </c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30F6-3C3C-4C24-AA0F-593D2C70D413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954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126</v>
      </c>
      <c r="O5" s="27">
        <f>N5/202*100</f>
        <v>62.376237623762378</v>
      </c>
      <c r="P5" s="27">
        <f>SUM(J14:J44)</f>
        <v>26</v>
      </c>
      <c r="Q5" s="27">
        <f>SUM(J68:J73)</f>
        <v>16</v>
      </c>
      <c r="R5" s="27">
        <f>SUM(J102:J104)</f>
        <v>9</v>
      </c>
      <c r="S5" s="27">
        <f>SUM(J133:J145)</f>
        <v>55</v>
      </c>
      <c r="T5" s="27">
        <f>SUM(J165:J171)</f>
        <v>3</v>
      </c>
      <c r="U5" s="27">
        <f>SUM(J197:J204)</f>
        <v>10</v>
      </c>
      <c r="V5" s="27">
        <f>J228</f>
        <v>4</v>
      </c>
      <c r="W5" s="27">
        <f>SUM(J338:J340)</f>
        <v>0</v>
      </c>
      <c r="X5" s="27">
        <f>SUM(J363:J365)</f>
        <v>3</v>
      </c>
      <c r="Y5" s="29" t="s">
        <v>921</v>
      </c>
      <c r="AA5" s="39">
        <v>152</v>
      </c>
      <c r="AB5" s="37">
        <f>SUM(AD5:AM5)</f>
        <v>109</v>
      </c>
      <c r="AC5" s="37">
        <f>AB5/152*100</f>
        <v>71.710526315789465</v>
      </c>
      <c r="AD5" s="37">
        <f>SUM(J74:J79)</f>
        <v>30</v>
      </c>
      <c r="AE5" s="37">
        <f>SUM(J105:J108)</f>
        <v>8</v>
      </c>
      <c r="AF5" s="37">
        <f>SUM(J205:J207)</f>
        <v>8</v>
      </c>
      <c r="AG5" s="37">
        <f>SUM(J229:J231)</f>
        <v>9</v>
      </c>
      <c r="AH5" s="37">
        <f>SUM(J248:J250)</f>
        <v>8</v>
      </c>
      <c r="AI5" s="37">
        <f>SUM(J268:J271)</f>
        <v>9</v>
      </c>
      <c r="AJ5" s="37">
        <f>SUM(J290:J294)</f>
        <v>14</v>
      </c>
      <c r="AK5" s="37">
        <f>SUM(J315:J318)</f>
        <v>9</v>
      </c>
      <c r="AL5" s="37">
        <f>SUM(J341:J347)</f>
        <v>9</v>
      </c>
      <c r="AM5" s="37">
        <f>SUM(J366:J367)</f>
        <v>5</v>
      </c>
      <c r="AN5" s="34" t="s">
        <v>921</v>
      </c>
      <c r="AP5" s="45">
        <v>1056</v>
      </c>
      <c r="AQ5" s="46">
        <f>SUM(AS5:BI5)</f>
        <v>111</v>
      </c>
      <c r="AR5" s="46">
        <f>AQ5/1056*100</f>
        <v>10.511363636363637</v>
      </c>
      <c r="AS5" s="46">
        <f>SUM(J45:J58)</f>
        <v>0</v>
      </c>
      <c r="AT5" s="46">
        <f>SUM(J80:J96)</f>
        <v>0</v>
      </c>
      <c r="AU5" s="46">
        <f>SUM(J109:J127)</f>
        <v>0</v>
      </c>
      <c r="AV5" s="46">
        <f>SUM(J146:J163)</f>
        <v>73</v>
      </c>
      <c r="AW5" s="46">
        <f>SUM(J172:J190)</f>
        <v>0</v>
      </c>
      <c r="AX5" s="46">
        <f>SUM(J208:J226)</f>
        <v>0</v>
      </c>
      <c r="AY5" s="46">
        <f>SUM(J232:J246)</f>
        <v>0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346</v>
      </c>
      <c r="T11" s="83"/>
      <c r="U11" s="84"/>
      <c r="V11" s="50"/>
      <c r="W11" s="82">
        <f>(AR5+AC5+O5)/3</f>
        <v>48.199375858638497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/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/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/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/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/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/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/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/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/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/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/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/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/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/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/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/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/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/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/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/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/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 t="s">
        <v>17</v>
      </c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 t="s">
        <v>17</v>
      </c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>
        <v>5</v>
      </c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>
        <v>5</v>
      </c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>
        <v>5</v>
      </c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>
        <v>5</v>
      </c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>
        <v>5</v>
      </c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>
        <v>5</v>
      </c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/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/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/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/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/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/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/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/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/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/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/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/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/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/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/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/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/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 t="s">
        <v>17</v>
      </c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/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>
        <v>5</v>
      </c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>
        <v>3</v>
      </c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/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/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/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/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/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/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/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/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/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/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/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/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/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/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/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/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/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/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/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/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/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/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/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/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/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 t="s">
        <v>17</v>
      </c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/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/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/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/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/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/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>
        <v>4</v>
      </c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>
        <v>4</v>
      </c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 t="s">
        <v>17</v>
      </c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>
        <v>4</v>
      </c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>
        <v>5</v>
      </c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>
        <v>4</v>
      </c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/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/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/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/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/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/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/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/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/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/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/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/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/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/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/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 t="s">
        <v>17</v>
      </c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>
        <v>5</v>
      </c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>
        <v>3</v>
      </c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 t="s">
        <v>17</v>
      </c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>
        <v>5</v>
      </c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>
        <v>4</v>
      </c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 t="s">
        <v>17</v>
      </c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>
        <v>5</v>
      </c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>
        <v>5</v>
      </c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>
        <v>4</v>
      </c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 t="s">
        <v>17</v>
      </c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>
        <v>4</v>
      </c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>
        <v>3</v>
      </c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>
        <v>2</v>
      </c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 t="s">
        <v>17</v>
      </c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>
        <v>5</v>
      </c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>
        <v>4</v>
      </c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/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/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>
        <v>5</v>
      </c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6106-8190-4525-AF43-C77AEFF43E1A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942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197</v>
      </c>
      <c r="O5" s="27">
        <f>N5/202*100</f>
        <v>97.524752475247524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16</v>
      </c>
      <c r="U5" s="27">
        <f>SUM(J197:J204)</f>
        <v>26</v>
      </c>
      <c r="V5" s="27">
        <f>J228</f>
        <v>4</v>
      </c>
      <c r="W5" s="27">
        <f>SUM(J338:J340)</f>
        <v>10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572</v>
      </c>
      <c r="AR5" s="46">
        <f>AQ5/1056*100</f>
        <v>54.166666666666664</v>
      </c>
      <c r="AS5" s="46">
        <f>SUM(J45:J58)</f>
        <v>0</v>
      </c>
      <c r="AT5" s="46">
        <f>SUM(J80:J96)</f>
        <v>63</v>
      </c>
      <c r="AU5" s="46">
        <f>SUM(J109:J127)</f>
        <v>71</v>
      </c>
      <c r="AV5" s="46">
        <f>SUM(J146:J163)</f>
        <v>73</v>
      </c>
      <c r="AW5" s="46">
        <f>SUM(J172:J190)</f>
        <v>70</v>
      </c>
      <c r="AX5" s="46">
        <f>SUM(J208:J226)</f>
        <v>0</v>
      </c>
      <c r="AY5" s="46">
        <f>SUM(J232:J246)</f>
        <v>0</v>
      </c>
      <c r="AZ5" s="46">
        <f>SUM(J251:J266)</f>
        <v>0</v>
      </c>
      <c r="BA5" s="46">
        <f>SUM(J272:J288)</f>
        <v>68</v>
      </c>
      <c r="BB5" s="46">
        <f>SUM(J295:J313)</f>
        <v>0</v>
      </c>
      <c r="BC5" s="46">
        <f>SUM(J319:J335)</f>
        <v>0</v>
      </c>
      <c r="BD5" s="46">
        <f>SUM(J348:J361)</f>
        <v>52</v>
      </c>
      <c r="BE5" s="46">
        <f>SUM(J368:J378)</f>
        <v>38</v>
      </c>
      <c r="BF5" s="46">
        <f>SUM(J379:J399)</f>
        <v>0</v>
      </c>
      <c r="BG5" s="46">
        <f>SUM(J400:J418)</f>
        <v>70</v>
      </c>
      <c r="BH5" s="46">
        <f>SUM(J419:J433)</f>
        <v>0</v>
      </c>
      <c r="BI5" s="46">
        <f>SUM(J434:J453)</f>
        <v>67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769</v>
      </c>
      <c r="T11" s="83"/>
      <c r="U11" s="84"/>
      <c r="V11" s="50"/>
      <c r="W11" s="82">
        <f>(AR5+AC5+O5)/3</f>
        <v>50.563806380638063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>
        <v>5</v>
      </c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>
        <v>5</v>
      </c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>
        <v>5</v>
      </c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>
        <v>5</v>
      </c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>
        <v>5</v>
      </c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>
        <v>4</v>
      </c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>
        <v>4</v>
      </c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>
        <v>4</v>
      </c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>
        <v>4</v>
      </c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>
        <v>4</v>
      </c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>
        <v>4</v>
      </c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>
        <v>4</v>
      </c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>
        <v>3</v>
      </c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>
        <v>3</v>
      </c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>
        <v>3</v>
      </c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>
        <v>3</v>
      </c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>
        <v>2</v>
      </c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>
        <v>2</v>
      </c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>
        <v>2</v>
      </c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>
        <v>1</v>
      </c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>
        <v>1</v>
      </c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>
        <v>5</v>
      </c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>
        <v>5</v>
      </c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>
        <v>5</v>
      </c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>
        <v>5</v>
      </c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>
        <v>5</v>
      </c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>
        <v>5</v>
      </c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>
        <v>5</v>
      </c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>
        <v>4</v>
      </c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>
        <v>4</v>
      </c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>
        <v>4</v>
      </c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>
        <v>4</v>
      </c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>
        <v>4</v>
      </c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>
        <v>4</v>
      </c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>
        <v>3</v>
      </c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>
        <v>2</v>
      </c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>
        <v>2</v>
      </c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>
        <v>2</v>
      </c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>
        <v>1</v>
      </c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>
        <v>1</v>
      </c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>
        <v>4</v>
      </c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/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/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/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/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/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/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/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/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/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/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/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/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/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/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/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>
        <v>5</v>
      </c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>
        <v>5</v>
      </c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>
        <v>5</v>
      </c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>
        <v>5</v>
      </c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>
        <v>5</v>
      </c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>
        <v>5</v>
      </c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>
        <v>5</v>
      </c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>
        <v>4</v>
      </c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>
        <v>4</v>
      </c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>
        <v>4</v>
      </c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>
        <v>4</v>
      </c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>
        <v>4</v>
      </c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>
        <v>3</v>
      </c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>
        <v>3</v>
      </c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>
        <v>3</v>
      </c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>
        <v>2</v>
      </c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>
        <v>2</v>
      </c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 t="s">
        <v>17</v>
      </c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>
        <v>5</v>
      </c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>
        <v>5</v>
      </c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>
        <v>5</v>
      </c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>
        <v>5</v>
      </c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>
        <v>5</v>
      </c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>
        <v>5</v>
      </c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>
        <v>5</v>
      </c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>
        <v>4</v>
      </c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>
        <v>4</v>
      </c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>
        <v>4</v>
      </c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>
        <v>4</v>
      </c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>
        <v>3</v>
      </c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>
        <v>3</v>
      </c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>
        <v>2</v>
      </c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>
        <v>2</v>
      </c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>
        <v>1</v>
      </c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>
        <v>5</v>
      </c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>
        <v>5</v>
      </c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>
        <v>5</v>
      </c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>
        <v>5</v>
      </c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>
        <v>5</v>
      </c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>
        <v>5</v>
      </c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>
        <v>4</v>
      </c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>
        <v>4</v>
      </c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>
        <v>4</v>
      </c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>
        <v>4</v>
      </c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>
        <v>4</v>
      </c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>
        <v>3</v>
      </c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>
        <v>3</v>
      </c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>
        <v>3</v>
      </c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>
        <v>3</v>
      </c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>
        <v>3</v>
      </c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>
        <v>2</v>
      </c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>
        <v>2</v>
      </c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>
        <v>1</v>
      </c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>
        <v>5</v>
      </c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>
        <v>5</v>
      </c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>
        <v>5</v>
      </c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>
        <v>4</v>
      </c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>
        <v>4</v>
      </c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>
        <v>4</v>
      </c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>
        <v>4</v>
      </c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>
        <v>4</v>
      </c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>
        <v>4</v>
      </c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>
        <v>3</v>
      </c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>
        <v>3</v>
      </c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>
        <v>3</v>
      </c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>
        <v>3</v>
      </c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>
        <v>3</v>
      </c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>
        <v>3</v>
      </c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>
        <v>3</v>
      </c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>
        <v>2</v>
      </c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>
        <v>2</v>
      </c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>
        <v>2</v>
      </c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>
        <v>1</v>
      </c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9FF1-9BFC-4EEC-8DEE-462D52D38565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943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165</v>
      </c>
      <c r="O5" s="27">
        <f>N5/202*100</f>
        <v>81.683168316831683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6</v>
      </c>
      <c r="U5" s="27">
        <f>SUM(J197:J204)</f>
        <v>18</v>
      </c>
      <c r="V5" s="27">
        <f>J228</f>
        <v>0</v>
      </c>
      <c r="W5" s="27">
        <f>SUM(J338:J340)</f>
        <v>0</v>
      </c>
      <c r="X5" s="27">
        <f>SUM(J363:J365)</f>
        <v>6</v>
      </c>
      <c r="Y5" s="29" t="s">
        <v>921</v>
      </c>
      <c r="AA5" s="39">
        <v>152</v>
      </c>
      <c r="AB5" s="37">
        <f>SUM(AD5:AM5)</f>
        <v>0</v>
      </c>
      <c r="AC5" s="37">
        <f>AB5/152*100</f>
        <v>0</v>
      </c>
      <c r="AD5" s="37">
        <f>SUM(J74:J79)</f>
        <v>0</v>
      </c>
      <c r="AE5" s="37">
        <f>SUM(J105:J108)</f>
        <v>0</v>
      </c>
      <c r="AF5" s="37">
        <f>SUM(J205:J207)</f>
        <v>0</v>
      </c>
      <c r="AG5" s="37">
        <f>SUM(J229:J231)</f>
        <v>0</v>
      </c>
      <c r="AH5" s="37">
        <f>SUM(J248:J250)</f>
        <v>0</v>
      </c>
      <c r="AI5" s="37">
        <f>SUM(J268:J271)</f>
        <v>0</v>
      </c>
      <c r="AJ5" s="37">
        <f>SUM(J290:J294)</f>
        <v>0</v>
      </c>
      <c r="AK5" s="37">
        <f>SUM(J315:J318)</f>
        <v>0</v>
      </c>
      <c r="AL5" s="37">
        <f>SUM(J341:J347)</f>
        <v>0</v>
      </c>
      <c r="AM5" s="37">
        <f>SUM(J366:J367)</f>
        <v>0</v>
      </c>
      <c r="AN5" s="34" t="s">
        <v>921</v>
      </c>
      <c r="AP5" s="45">
        <v>1056</v>
      </c>
      <c r="AQ5" s="46">
        <f>SUM(AS5:BI5)</f>
        <v>219</v>
      </c>
      <c r="AR5" s="46">
        <f>AQ5/1056*100</f>
        <v>20.738636363636363</v>
      </c>
      <c r="AS5" s="46">
        <f>SUM(J45:J58)</f>
        <v>0</v>
      </c>
      <c r="AT5" s="46">
        <f>SUM(J80:J96)</f>
        <v>63</v>
      </c>
      <c r="AU5" s="46">
        <f>SUM(J109:J127)</f>
        <v>0</v>
      </c>
      <c r="AV5" s="46">
        <f>SUM(J146:J163)</f>
        <v>73</v>
      </c>
      <c r="AW5" s="46">
        <f>SUM(J172:J190)</f>
        <v>0</v>
      </c>
      <c r="AX5" s="46">
        <f>SUM(J208:J226)</f>
        <v>0</v>
      </c>
      <c r="AY5" s="46">
        <f>SUM(J232:J246)</f>
        <v>45</v>
      </c>
      <c r="AZ5" s="46">
        <f>SUM(J251:J266)</f>
        <v>0</v>
      </c>
      <c r="BA5" s="46">
        <f>SUM(J272:J288)</f>
        <v>0</v>
      </c>
      <c r="BB5" s="46">
        <f>SUM(J295:J313)</f>
        <v>0</v>
      </c>
      <c r="BC5" s="46">
        <f>SUM(J319:J335)</f>
        <v>0</v>
      </c>
      <c r="BD5" s="46">
        <f>SUM(J348:J361)</f>
        <v>0</v>
      </c>
      <c r="BE5" s="46">
        <f>SUM(J368:J378)</f>
        <v>38</v>
      </c>
      <c r="BF5" s="46">
        <f>SUM(J379:J399)</f>
        <v>0</v>
      </c>
      <c r="BG5" s="46">
        <f>SUM(J400:J418)</f>
        <v>0</v>
      </c>
      <c r="BH5" s="46">
        <f>SUM(J419:J433)</f>
        <v>0</v>
      </c>
      <c r="BI5" s="46">
        <f>SUM(J434:J453)</f>
        <v>0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384</v>
      </c>
      <c r="T11" s="83"/>
      <c r="U11" s="84"/>
      <c r="V11" s="50"/>
      <c r="W11" s="82">
        <f>(AR5+AC5+O5)/3</f>
        <v>34.140601560156014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/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/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/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/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/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/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/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/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/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/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/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/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/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/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/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/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/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/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/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/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/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/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/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/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/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/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/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/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/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/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/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/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/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/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/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/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/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/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/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/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/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/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/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/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/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/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/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/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/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/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/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/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/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/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/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/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/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/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/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/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/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/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/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/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/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/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/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/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/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/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/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/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/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/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/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/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/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/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/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/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/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/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/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/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/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/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/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/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/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/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/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/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/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/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/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/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/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/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/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/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/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/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>
        <v>1</v>
      </c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/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/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/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/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/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/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/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/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/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/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/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/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/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/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/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/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/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/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/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/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/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/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/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/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/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/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/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/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/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/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/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/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/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/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/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/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/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/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/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/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/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/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/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/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/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/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/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/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/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/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/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/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/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/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/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/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/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/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/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/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/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/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/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/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/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/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/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/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/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/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/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/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/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/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/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/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/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/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/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/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/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/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/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/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/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/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/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/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/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/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/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/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/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/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/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/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/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/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/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/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/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/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/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/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/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/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/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/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/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/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/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/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/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/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/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/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/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/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/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/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/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/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/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/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/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/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/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/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/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/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/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/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/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/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/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/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/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/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/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/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/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/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/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/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/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/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/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/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/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/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/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/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/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/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/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/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/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/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/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/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/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/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/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/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/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/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/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/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/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/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/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/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/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/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7815-323A-4348-852E-C6593F8C60DA}">
  <dimension ref="A1:BI453"/>
  <sheetViews>
    <sheetView zoomScale="40" zoomScaleNormal="40" workbookViewId="0">
      <selection activeCell="BI10" sqref="BI10"/>
    </sheetView>
  </sheetViews>
  <sheetFormatPr defaultRowHeight="14.4" x14ac:dyDescent="0.3"/>
  <cols>
    <col min="1" max="2" width="8.21875" style="19" customWidth="1"/>
    <col min="3" max="3" width="16.88671875" style="19" customWidth="1"/>
    <col min="4" max="4" width="25.21875" style="20" bestFit="1" customWidth="1"/>
    <col min="5" max="5" width="26.5546875" style="20" customWidth="1"/>
    <col min="6" max="6" width="40.77734375" style="20" customWidth="1"/>
    <col min="7" max="7" width="16.5546875" style="20" customWidth="1"/>
    <col min="8" max="9" width="12.21875" style="20" customWidth="1"/>
    <col min="10" max="11" width="13.5546875" style="21" customWidth="1"/>
    <col min="12" max="15" width="9.109375" customWidth="1"/>
    <col min="16" max="25" width="4" customWidth="1"/>
    <col min="26" max="26" width="1.77734375" customWidth="1"/>
    <col min="30" max="40" width="4" customWidth="1"/>
    <col min="41" max="41" width="1.77734375" customWidth="1"/>
    <col min="45" max="61" width="4" customWidth="1"/>
  </cols>
  <sheetData>
    <row r="1" spans="1:61" ht="9.75" customHeigh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21"/>
    </row>
    <row r="2" spans="1:61" ht="14.25" hidden="1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21"/>
    </row>
    <row r="3" spans="1:61" ht="14.25" hidden="1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21"/>
    </row>
    <row r="4" spans="1:61" ht="14.25" hidden="1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21"/>
    </row>
    <row r="5" spans="1:61" ht="24.45" customHeight="1" x14ac:dyDescent="0.3">
      <c r="A5" s="132" t="s">
        <v>953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21"/>
      <c r="M5" s="40">
        <v>202</v>
      </c>
      <c r="N5" s="27">
        <f>SUM(P5:X5)</f>
        <v>192</v>
      </c>
      <c r="O5" s="27">
        <f>N5/202*100</f>
        <v>95.049504950495049</v>
      </c>
      <c r="P5" s="27">
        <f>SUM(J14:J44)</f>
        <v>53</v>
      </c>
      <c r="Q5" s="27">
        <f>SUM(J68:J73)</f>
        <v>16</v>
      </c>
      <c r="R5" s="27">
        <f>SUM(J102:J104)</f>
        <v>11</v>
      </c>
      <c r="S5" s="27">
        <f>SUM(J133:J145)</f>
        <v>55</v>
      </c>
      <c r="T5" s="27">
        <f>SUM(J165:J171)</f>
        <v>16</v>
      </c>
      <c r="U5" s="27">
        <f>SUM(J197:J204)</f>
        <v>26</v>
      </c>
      <c r="V5" s="27">
        <f>J228</f>
        <v>4</v>
      </c>
      <c r="W5" s="27">
        <f>SUM(J338:J340)</f>
        <v>5</v>
      </c>
      <c r="X5" s="27">
        <f>SUM(J363:J365)</f>
        <v>6</v>
      </c>
      <c r="Y5" s="29" t="s">
        <v>921</v>
      </c>
      <c r="AA5" s="39">
        <v>152</v>
      </c>
      <c r="AB5" s="37">
        <f>SUM(AD5:AM5)</f>
        <v>145</v>
      </c>
      <c r="AC5" s="37">
        <f>AB5/152*100</f>
        <v>95.39473684210526</v>
      </c>
      <c r="AD5" s="37">
        <f>SUM(J74:J79)</f>
        <v>30</v>
      </c>
      <c r="AE5" s="37">
        <f>SUM(J105:J108)</f>
        <v>14</v>
      </c>
      <c r="AF5" s="37">
        <f>SUM(J205:J207)</f>
        <v>11</v>
      </c>
      <c r="AG5" s="37">
        <f>SUM(J229:J231)</f>
        <v>13</v>
      </c>
      <c r="AH5" s="37">
        <f>SUM(J248:J250)</f>
        <v>10</v>
      </c>
      <c r="AI5" s="37">
        <f>SUM(J268:J271)</f>
        <v>15</v>
      </c>
      <c r="AJ5" s="37">
        <f>SUM(J290:J294)</f>
        <v>19</v>
      </c>
      <c r="AK5" s="37">
        <f>SUM(J315:J318)</f>
        <v>10</v>
      </c>
      <c r="AL5" s="37">
        <f>SUM(J341:J347)</f>
        <v>15</v>
      </c>
      <c r="AM5" s="37">
        <f>SUM(J366:J367)</f>
        <v>8</v>
      </c>
      <c r="AN5" s="34" t="s">
        <v>921</v>
      </c>
      <c r="AP5" s="45">
        <v>1056</v>
      </c>
      <c r="AQ5" s="46">
        <f>SUM(AS5:BI5)</f>
        <v>1013</v>
      </c>
      <c r="AR5" s="46">
        <f>AQ5/1056*100</f>
        <v>95.928030303030297</v>
      </c>
      <c r="AS5" s="46">
        <f>SUM(J45:J58)</f>
        <v>52</v>
      </c>
      <c r="AT5" s="46">
        <f>SUM(J80:J96)</f>
        <v>63</v>
      </c>
      <c r="AU5" s="46">
        <f>SUM(J109:J127)</f>
        <v>71</v>
      </c>
      <c r="AV5" s="46">
        <f>SUM(J146:J163)</f>
        <v>73</v>
      </c>
      <c r="AW5" s="46">
        <f>SUM(J172:J190)</f>
        <v>70</v>
      </c>
      <c r="AX5" s="46">
        <f>SUM(J208:J226)</f>
        <v>63</v>
      </c>
      <c r="AY5" s="46">
        <f>SUM(J232:J246)</f>
        <v>45</v>
      </c>
      <c r="AZ5" s="46">
        <f>SUM(J251:J266)</f>
        <v>62</v>
      </c>
      <c r="BA5" s="46">
        <f>SUM(J272:J288)</f>
        <v>68</v>
      </c>
      <c r="BB5" s="46">
        <f>SUM(J295:J313)</f>
        <v>73</v>
      </c>
      <c r="BC5" s="46">
        <f>SUM(J319:J335)</f>
        <v>62</v>
      </c>
      <c r="BD5" s="46">
        <f>SUM(J348:J361)</f>
        <v>5</v>
      </c>
      <c r="BE5" s="46">
        <f>SUM(J368:J378)</f>
        <v>38</v>
      </c>
      <c r="BF5" s="46">
        <f>SUM(J379:J399)</f>
        <v>79</v>
      </c>
      <c r="BG5" s="46">
        <f>SUM(J400:J418)</f>
        <v>70</v>
      </c>
      <c r="BH5" s="46">
        <f>SUM(J419:J433)</f>
        <v>52</v>
      </c>
      <c r="BI5" s="46">
        <f>SUM(J434:J453)</f>
        <v>67</v>
      </c>
    </row>
    <row r="6" spans="1:61" ht="143.4" customHeight="1" x14ac:dyDescent="0.3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7"/>
      <c r="L6" s="21"/>
      <c r="M6" s="28" t="s">
        <v>925</v>
      </c>
      <c r="N6" s="28" t="s">
        <v>923</v>
      </c>
      <c r="O6" s="28" t="s">
        <v>924</v>
      </c>
      <c r="P6" s="26" t="s">
        <v>913</v>
      </c>
      <c r="Q6" s="26" t="s">
        <v>914</v>
      </c>
      <c r="R6" s="26" t="s">
        <v>915</v>
      </c>
      <c r="S6" s="26" t="s">
        <v>916</v>
      </c>
      <c r="T6" s="26" t="s">
        <v>917</v>
      </c>
      <c r="U6" s="26" t="s">
        <v>918</v>
      </c>
      <c r="V6" s="26" t="s">
        <v>919</v>
      </c>
      <c r="W6" s="26" t="s">
        <v>920</v>
      </c>
      <c r="X6" s="26" t="s">
        <v>912</v>
      </c>
      <c r="Y6" s="30" t="s">
        <v>922</v>
      </c>
      <c r="AA6" s="32" t="s">
        <v>925</v>
      </c>
      <c r="AB6" s="32" t="s">
        <v>923</v>
      </c>
      <c r="AC6" s="32" t="s">
        <v>924</v>
      </c>
      <c r="AD6" s="36" t="s">
        <v>914</v>
      </c>
      <c r="AE6" s="36" t="s">
        <v>915</v>
      </c>
      <c r="AF6" s="36" t="s">
        <v>918</v>
      </c>
      <c r="AG6" s="36" t="s">
        <v>919</v>
      </c>
      <c r="AH6" s="36" t="s">
        <v>926</v>
      </c>
      <c r="AI6" s="36" t="s">
        <v>927</v>
      </c>
      <c r="AJ6" s="36" t="s">
        <v>928</v>
      </c>
      <c r="AK6" s="36" t="s">
        <v>929</v>
      </c>
      <c r="AL6" s="36" t="s">
        <v>920</v>
      </c>
      <c r="AM6" s="36" t="s">
        <v>912</v>
      </c>
      <c r="AN6" s="33" t="s">
        <v>922</v>
      </c>
      <c r="AP6" s="43" t="s">
        <v>925</v>
      </c>
      <c r="AQ6" s="43" t="s">
        <v>923</v>
      </c>
      <c r="AR6" s="43" t="s">
        <v>924</v>
      </c>
      <c r="AS6" s="44" t="s">
        <v>913</v>
      </c>
      <c r="AT6" s="44" t="s">
        <v>914</v>
      </c>
      <c r="AU6" s="44" t="s">
        <v>915</v>
      </c>
      <c r="AV6" s="44" t="s">
        <v>916</v>
      </c>
      <c r="AW6" s="44" t="s">
        <v>917</v>
      </c>
      <c r="AX6" s="44" t="s">
        <v>918</v>
      </c>
      <c r="AY6" s="44" t="s">
        <v>919</v>
      </c>
      <c r="AZ6" s="44" t="s">
        <v>926</v>
      </c>
      <c r="BA6" s="44" t="s">
        <v>927</v>
      </c>
      <c r="BB6" s="44" t="s">
        <v>928</v>
      </c>
      <c r="BC6" s="44" t="s">
        <v>929</v>
      </c>
      <c r="BD6" s="44" t="s">
        <v>920</v>
      </c>
      <c r="BE6" s="44" t="s">
        <v>912</v>
      </c>
      <c r="BF6" s="44" t="s">
        <v>930</v>
      </c>
      <c r="BG6" s="44" t="s">
        <v>885</v>
      </c>
      <c r="BH6" s="44" t="s">
        <v>931</v>
      </c>
      <c r="BI6" s="44" t="s">
        <v>932</v>
      </c>
    </row>
    <row r="7" spans="1:61" ht="25.8" x14ac:dyDescent="0.3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21"/>
      <c r="M7" s="67" t="s">
        <v>933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AA7" s="69" t="s">
        <v>934</v>
      </c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1"/>
      <c r="AP7" s="72" t="s">
        <v>935</v>
      </c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4"/>
      <c r="BD7" s="71"/>
      <c r="BE7" s="71"/>
      <c r="BF7" s="71"/>
      <c r="BG7" s="71"/>
      <c r="BH7" s="71"/>
      <c r="BI7" s="71"/>
    </row>
    <row r="8" spans="1:61" ht="18" x14ac:dyDescent="0.3">
      <c r="A8" s="138"/>
      <c r="B8" s="139"/>
      <c r="C8" s="139"/>
      <c r="D8" s="139"/>
      <c r="E8" s="139"/>
      <c r="F8" s="139"/>
      <c r="G8" s="139"/>
      <c r="H8" s="139"/>
      <c r="I8" s="139"/>
      <c r="J8" s="139"/>
      <c r="K8" s="140"/>
      <c r="L8" s="21"/>
      <c r="M8" s="41">
        <v>202</v>
      </c>
      <c r="N8" s="31" t="s">
        <v>921</v>
      </c>
      <c r="O8" s="31" t="s">
        <v>921</v>
      </c>
      <c r="P8" s="31">
        <v>53</v>
      </c>
      <c r="Q8" s="31">
        <v>16</v>
      </c>
      <c r="R8" s="31">
        <v>11</v>
      </c>
      <c r="S8" s="31">
        <v>55</v>
      </c>
      <c r="T8" s="31">
        <v>16</v>
      </c>
      <c r="U8" s="31">
        <v>26</v>
      </c>
      <c r="V8" s="31">
        <v>4</v>
      </c>
      <c r="W8" s="31">
        <v>15</v>
      </c>
      <c r="X8" s="31">
        <v>6</v>
      </c>
      <c r="Y8" s="31" t="s">
        <v>921</v>
      </c>
      <c r="AA8" s="42">
        <v>152</v>
      </c>
      <c r="AB8" s="35" t="s">
        <v>921</v>
      </c>
      <c r="AC8" s="35" t="s">
        <v>921</v>
      </c>
      <c r="AD8" s="35">
        <v>30</v>
      </c>
      <c r="AE8" s="35">
        <v>14</v>
      </c>
      <c r="AF8" s="35">
        <v>11</v>
      </c>
      <c r="AG8" s="35">
        <v>13</v>
      </c>
      <c r="AH8" s="35">
        <v>10</v>
      </c>
      <c r="AI8" s="35">
        <v>15</v>
      </c>
      <c r="AJ8" s="35">
        <v>19</v>
      </c>
      <c r="AK8" s="35">
        <v>10</v>
      </c>
      <c r="AL8" s="35">
        <v>21</v>
      </c>
      <c r="AM8" s="35">
        <v>8</v>
      </c>
      <c r="AN8" s="35" t="s">
        <v>921</v>
      </c>
      <c r="AP8" s="47">
        <f>SUM(AS8:BI8)</f>
        <v>1056</v>
      </c>
      <c r="AQ8" s="48" t="s">
        <v>921</v>
      </c>
      <c r="AR8" s="48" t="s">
        <v>921</v>
      </c>
      <c r="AS8" s="48">
        <v>52</v>
      </c>
      <c r="AT8" s="48">
        <v>63</v>
      </c>
      <c r="AU8" s="48">
        <v>71</v>
      </c>
      <c r="AV8" s="48">
        <v>73</v>
      </c>
      <c r="AW8" s="48">
        <v>70</v>
      </c>
      <c r="AX8" s="48">
        <v>63</v>
      </c>
      <c r="AY8" s="48">
        <v>45</v>
      </c>
      <c r="AZ8" s="48">
        <v>58</v>
      </c>
      <c r="BA8" s="48">
        <v>68</v>
      </c>
      <c r="BB8" s="48">
        <v>73</v>
      </c>
      <c r="BC8" s="48">
        <v>62</v>
      </c>
      <c r="BD8" s="48">
        <v>52</v>
      </c>
      <c r="BE8" s="48">
        <v>38</v>
      </c>
      <c r="BF8" s="48">
        <v>79</v>
      </c>
      <c r="BG8" s="48">
        <v>70</v>
      </c>
      <c r="BH8" s="48">
        <v>52</v>
      </c>
      <c r="BI8" s="48">
        <v>67</v>
      </c>
    </row>
    <row r="9" spans="1:61" x14ac:dyDescent="0.3">
      <c r="L9" s="21"/>
    </row>
    <row r="10" spans="1:61" ht="32.25" customHeight="1" x14ac:dyDescent="0.3">
      <c r="L10" s="21"/>
      <c r="M10" s="75" t="s">
        <v>939</v>
      </c>
      <c r="N10" s="76"/>
      <c r="O10" s="79" t="s">
        <v>936</v>
      </c>
      <c r="P10" s="80"/>
      <c r="Q10" s="80"/>
      <c r="R10" s="49"/>
      <c r="S10" s="79" t="s">
        <v>937</v>
      </c>
      <c r="T10" s="80"/>
      <c r="U10" s="80"/>
      <c r="V10" s="49"/>
      <c r="W10" s="79" t="s">
        <v>938</v>
      </c>
      <c r="X10" s="80"/>
      <c r="Y10" s="81"/>
    </row>
    <row r="11" spans="1:61" s="2" customFormat="1" ht="57" customHeight="1" x14ac:dyDescent="0.3">
      <c r="A11" s="25" t="s">
        <v>0</v>
      </c>
      <c r="B11" s="1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3" t="s">
        <v>9</v>
      </c>
      <c r="K11" s="38" t="s">
        <v>10</v>
      </c>
      <c r="L11" s="21"/>
      <c r="M11" s="77"/>
      <c r="N11" s="78"/>
      <c r="O11" s="82">
        <f>AP5+AA5+M5</f>
        <v>1410</v>
      </c>
      <c r="P11" s="83"/>
      <c r="Q11" s="84"/>
      <c r="R11" s="50"/>
      <c r="S11" s="82">
        <f>AQ5+AB5+N5</f>
        <v>1350</v>
      </c>
      <c r="T11" s="83"/>
      <c r="U11" s="84"/>
      <c r="V11" s="50"/>
      <c r="W11" s="82">
        <f>(AR5+AC5+O5)/3</f>
        <v>95.457424031876869</v>
      </c>
      <c r="X11" s="83"/>
      <c r="Y11" s="84"/>
    </row>
    <row r="12" spans="1:61" s="2" customFormat="1" ht="41.4" x14ac:dyDescent="0.3">
      <c r="A12" s="24">
        <v>1</v>
      </c>
      <c r="B12" s="3">
        <v>1</v>
      </c>
      <c r="C12" s="4" t="s">
        <v>11</v>
      </c>
      <c r="D12" s="4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8" t="s">
        <v>17</v>
      </c>
      <c r="J12" s="8" t="s">
        <v>17</v>
      </c>
      <c r="K12" s="8"/>
      <c r="L12" s="21"/>
      <c r="M12"/>
      <c r="N12"/>
      <c r="O12"/>
      <c r="P12"/>
      <c r="Q12"/>
      <c r="R12"/>
    </row>
    <row r="13" spans="1:61" s="2" customFormat="1" ht="36.450000000000003" customHeight="1" x14ac:dyDescent="0.3">
      <c r="A13" s="24">
        <v>1</v>
      </c>
      <c r="B13" s="3">
        <v>1</v>
      </c>
      <c r="C13" s="4" t="s">
        <v>11</v>
      </c>
      <c r="D13" s="4" t="s">
        <v>12</v>
      </c>
      <c r="E13" s="5" t="s">
        <v>13</v>
      </c>
      <c r="F13" s="5" t="s">
        <v>14</v>
      </c>
      <c r="G13" s="6" t="s">
        <v>15</v>
      </c>
      <c r="H13" s="6" t="s">
        <v>16</v>
      </c>
      <c r="I13" s="8" t="s">
        <v>17</v>
      </c>
      <c r="J13" s="8" t="s">
        <v>17</v>
      </c>
      <c r="K13" s="8"/>
      <c r="L13" s="21"/>
      <c r="M13"/>
      <c r="N13"/>
      <c r="O13"/>
      <c r="P13"/>
      <c r="Q13"/>
      <c r="R13"/>
    </row>
    <row r="14" spans="1:61" s="2" customFormat="1" ht="41.4" x14ac:dyDescent="0.3">
      <c r="A14" s="24">
        <v>2</v>
      </c>
      <c r="B14" s="3">
        <v>2</v>
      </c>
      <c r="C14" s="4" t="s">
        <v>11</v>
      </c>
      <c r="D14" s="4" t="s">
        <v>12</v>
      </c>
      <c r="E14" s="5" t="s">
        <v>18</v>
      </c>
      <c r="F14" s="5" t="s">
        <v>19</v>
      </c>
      <c r="G14" s="6" t="s">
        <v>15</v>
      </c>
      <c r="H14" s="6" t="s">
        <v>20</v>
      </c>
      <c r="I14" s="8">
        <v>5</v>
      </c>
      <c r="J14" s="8">
        <v>5</v>
      </c>
      <c r="K14" s="8"/>
      <c r="L14"/>
      <c r="M14"/>
      <c r="N14"/>
      <c r="O14"/>
      <c r="P14"/>
      <c r="Q14"/>
      <c r="R14"/>
    </row>
    <row r="15" spans="1:61" s="2" customFormat="1" ht="41.4" x14ac:dyDescent="0.3">
      <c r="A15" s="24">
        <v>3</v>
      </c>
      <c r="B15" s="3">
        <v>3</v>
      </c>
      <c r="C15" s="4" t="s">
        <v>11</v>
      </c>
      <c r="D15" s="4" t="s">
        <v>12</v>
      </c>
      <c r="E15" s="5" t="s">
        <v>21</v>
      </c>
      <c r="F15" s="5" t="s">
        <v>22</v>
      </c>
      <c r="G15" s="6" t="s">
        <v>15</v>
      </c>
      <c r="H15" s="6" t="s">
        <v>20</v>
      </c>
      <c r="I15" s="8">
        <v>3</v>
      </c>
      <c r="J15" s="8">
        <v>3</v>
      </c>
      <c r="K15" s="8"/>
      <c r="L15"/>
      <c r="M15"/>
      <c r="N15"/>
      <c r="O15"/>
      <c r="P15"/>
      <c r="Q15"/>
      <c r="R15"/>
    </row>
    <row r="16" spans="1:61" s="2" customFormat="1" ht="41.4" x14ac:dyDescent="0.3">
      <c r="A16" s="24">
        <v>4</v>
      </c>
      <c r="B16" s="3">
        <v>4</v>
      </c>
      <c r="C16" s="4" t="s">
        <v>11</v>
      </c>
      <c r="D16" s="4" t="s">
        <v>12</v>
      </c>
      <c r="E16" s="5" t="s">
        <v>23</v>
      </c>
      <c r="F16" s="5" t="s">
        <v>24</v>
      </c>
      <c r="G16" s="6" t="s">
        <v>15</v>
      </c>
      <c r="H16" s="6" t="s">
        <v>20</v>
      </c>
      <c r="I16" s="8">
        <v>3</v>
      </c>
      <c r="J16" s="8">
        <v>3</v>
      </c>
      <c r="K16" s="8"/>
      <c r="L16"/>
      <c r="M16"/>
      <c r="N16"/>
      <c r="O16"/>
      <c r="P16"/>
      <c r="Q16"/>
      <c r="R16"/>
    </row>
    <row r="17" spans="1:18" s="2" customFormat="1" ht="41.4" x14ac:dyDescent="0.3">
      <c r="A17" s="24">
        <v>5</v>
      </c>
      <c r="B17" s="3">
        <v>5</v>
      </c>
      <c r="C17" s="4" t="s">
        <v>11</v>
      </c>
      <c r="D17" s="4" t="s">
        <v>12</v>
      </c>
      <c r="E17" s="5" t="s">
        <v>25</v>
      </c>
      <c r="F17" s="5" t="s">
        <v>26</v>
      </c>
      <c r="G17" s="6" t="s">
        <v>15</v>
      </c>
      <c r="H17" s="6" t="s">
        <v>20</v>
      </c>
      <c r="I17" s="8">
        <v>3</v>
      </c>
      <c r="J17" s="8">
        <v>3</v>
      </c>
      <c r="K17" s="8"/>
      <c r="L17"/>
      <c r="M17"/>
      <c r="N17"/>
      <c r="O17"/>
      <c r="P17"/>
      <c r="Q17"/>
      <c r="R17"/>
    </row>
    <row r="18" spans="1:18" s="2" customFormat="1" ht="41.4" x14ac:dyDescent="0.3">
      <c r="A18" s="24">
        <v>6</v>
      </c>
      <c r="B18" s="3">
        <v>6</v>
      </c>
      <c r="C18" s="4" t="s">
        <v>11</v>
      </c>
      <c r="D18" s="4" t="s">
        <v>12</v>
      </c>
      <c r="E18" s="5" t="s">
        <v>27</v>
      </c>
      <c r="F18" s="5" t="s">
        <v>28</v>
      </c>
      <c r="G18" s="6" t="s">
        <v>15</v>
      </c>
      <c r="H18" s="6" t="s">
        <v>20</v>
      </c>
      <c r="I18" s="8">
        <v>2</v>
      </c>
      <c r="J18" s="8">
        <v>2</v>
      </c>
      <c r="K18" s="8"/>
      <c r="L18"/>
      <c r="M18"/>
      <c r="N18"/>
      <c r="O18"/>
      <c r="P18"/>
      <c r="Q18"/>
      <c r="R18"/>
    </row>
    <row r="19" spans="1:18" s="2" customFormat="1" ht="41.4" x14ac:dyDescent="0.3">
      <c r="A19" s="24">
        <v>7</v>
      </c>
      <c r="B19" s="3">
        <v>7</v>
      </c>
      <c r="C19" s="4" t="s">
        <v>11</v>
      </c>
      <c r="D19" s="4" t="s">
        <v>12</v>
      </c>
      <c r="E19" s="5" t="s">
        <v>29</v>
      </c>
      <c r="F19" s="5" t="s">
        <v>30</v>
      </c>
      <c r="G19" s="6" t="s">
        <v>15</v>
      </c>
      <c r="H19" s="6" t="s">
        <v>20</v>
      </c>
      <c r="I19" s="8">
        <v>2</v>
      </c>
      <c r="J19" s="8">
        <v>2</v>
      </c>
      <c r="K19" s="8"/>
      <c r="L19"/>
      <c r="M19"/>
      <c r="N19"/>
      <c r="O19"/>
      <c r="P19"/>
      <c r="Q19"/>
      <c r="R19"/>
    </row>
    <row r="20" spans="1:18" s="2" customFormat="1" ht="41.4" x14ac:dyDescent="0.3">
      <c r="A20" s="24">
        <v>8</v>
      </c>
      <c r="B20" s="3">
        <v>8</v>
      </c>
      <c r="C20" s="4" t="s">
        <v>11</v>
      </c>
      <c r="D20" s="4" t="s">
        <v>12</v>
      </c>
      <c r="E20" s="5" t="s">
        <v>31</v>
      </c>
      <c r="F20" s="5" t="s">
        <v>32</v>
      </c>
      <c r="G20" s="6" t="s">
        <v>15</v>
      </c>
      <c r="H20" s="6" t="s">
        <v>20</v>
      </c>
      <c r="I20" s="8">
        <v>2</v>
      </c>
      <c r="J20" s="8">
        <v>2</v>
      </c>
      <c r="K20" s="8"/>
      <c r="L20"/>
      <c r="M20"/>
      <c r="N20"/>
      <c r="O20"/>
      <c r="P20"/>
      <c r="Q20"/>
      <c r="R20"/>
    </row>
    <row r="21" spans="1:18" s="2" customFormat="1" ht="41.4" x14ac:dyDescent="0.3">
      <c r="A21" s="24">
        <v>9</v>
      </c>
      <c r="B21" s="3">
        <v>9</v>
      </c>
      <c r="C21" s="4" t="s">
        <v>11</v>
      </c>
      <c r="D21" s="4" t="s">
        <v>12</v>
      </c>
      <c r="E21" s="5" t="s">
        <v>33</v>
      </c>
      <c r="F21" s="5" t="s">
        <v>34</v>
      </c>
      <c r="G21" s="6" t="s">
        <v>15</v>
      </c>
      <c r="H21" s="6" t="s">
        <v>20</v>
      </c>
      <c r="I21" s="8">
        <v>2</v>
      </c>
      <c r="J21" s="8">
        <v>2</v>
      </c>
      <c r="K21" s="8"/>
      <c r="L21"/>
      <c r="M21"/>
      <c r="N21"/>
      <c r="O21"/>
      <c r="P21"/>
      <c r="Q21"/>
      <c r="R21"/>
    </row>
    <row r="22" spans="1:18" s="2" customFormat="1" ht="41.4" x14ac:dyDescent="0.3">
      <c r="A22" s="24">
        <v>10</v>
      </c>
      <c r="B22" s="3">
        <v>10</v>
      </c>
      <c r="C22" s="4" t="s">
        <v>11</v>
      </c>
      <c r="D22" s="4" t="s">
        <v>12</v>
      </c>
      <c r="E22" s="5" t="s">
        <v>35</v>
      </c>
      <c r="F22" s="5" t="s">
        <v>36</v>
      </c>
      <c r="G22" s="6" t="s">
        <v>15</v>
      </c>
      <c r="H22" s="6" t="s">
        <v>20</v>
      </c>
      <c r="I22" s="8">
        <v>2</v>
      </c>
      <c r="J22" s="8">
        <v>2</v>
      </c>
      <c r="K22" s="8"/>
      <c r="L22"/>
      <c r="M22"/>
      <c r="N22"/>
      <c r="O22"/>
      <c r="P22"/>
      <c r="Q22"/>
      <c r="R22"/>
    </row>
    <row r="23" spans="1:18" s="2" customFormat="1" ht="26.25" customHeight="1" x14ac:dyDescent="0.3">
      <c r="A23" s="24">
        <v>11</v>
      </c>
      <c r="B23" s="3">
        <v>11</v>
      </c>
      <c r="C23" s="4" t="s">
        <v>11</v>
      </c>
      <c r="D23" s="4" t="s">
        <v>12</v>
      </c>
      <c r="E23" s="5" t="s">
        <v>37</v>
      </c>
      <c r="F23" s="5" t="s">
        <v>38</v>
      </c>
      <c r="G23" s="6" t="s">
        <v>15</v>
      </c>
      <c r="H23" s="6" t="s">
        <v>20</v>
      </c>
      <c r="I23" s="8">
        <v>2</v>
      </c>
      <c r="J23" s="8">
        <v>2</v>
      </c>
      <c r="K23" s="8"/>
      <c r="L23"/>
      <c r="M23"/>
      <c r="N23"/>
      <c r="O23"/>
      <c r="P23"/>
      <c r="Q23"/>
      <c r="R23"/>
    </row>
    <row r="24" spans="1:18" s="2" customFormat="1" ht="41.4" x14ac:dyDescent="0.3">
      <c r="A24" s="24">
        <v>12</v>
      </c>
      <c r="B24" s="3">
        <v>12</v>
      </c>
      <c r="C24" s="4" t="s">
        <v>11</v>
      </c>
      <c r="D24" s="4" t="s">
        <v>12</v>
      </c>
      <c r="E24" s="5" t="s">
        <v>39</v>
      </c>
      <c r="F24" s="5" t="s">
        <v>40</v>
      </c>
      <c r="G24" s="6" t="s">
        <v>15</v>
      </c>
      <c r="H24" s="6" t="s">
        <v>20</v>
      </c>
      <c r="I24" s="8">
        <v>2</v>
      </c>
      <c r="J24" s="8">
        <v>2</v>
      </c>
      <c r="K24" s="8"/>
      <c r="L24"/>
      <c r="M24"/>
      <c r="N24"/>
      <c r="O24"/>
      <c r="P24"/>
      <c r="Q24"/>
      <c r="R24"/>
    </row>
    <row r="25" spans="1:18" s="2" customFormat="1" ht="41.4" x14ac:dyDescent="0.3">
      <c r="A25" s="24">
        <v>13</v>
      </c>
      <c r="B25" s="3">
        <v>13</v>
      </c>
      <c r="C25" s="4" t="s">
        <v>11</v>
      </c>
      <c r="D25" s="4" t="s">
        <v>12</v>
      </c>
      <c r="E25" s="5" t="s">
        <v>41</v>
      </c>
      <c r="F25" s="5" t="s">
        <v>42</v>
      </c>
      <c r="G25" s="6" t="s">
        <v>15</v>
      </c>
      <c r="H25" s="6" t="s">
        <v>20</v>
      </c>
      <c r="I25" s="8">
        <v>2</v>
      </c>
      <c r="J25" s="8">
        <v>2</v>
      </c>
      <c r="K25" s="8"/>
      <c r="L25"/>
      <c r="M25"/>
      <c r="N25"/>
      <c r="O25"/>
      <c r="P25"/>
      <c r="Q25"/>
      <c r="R25"/>
    </row>
    <row r="26" spans="1:18" s="2" customFormat="1" ht="41.4" x14ac:dyDescent="0.3">
      <c r="A26" s="24">
        <v>14</v>
      </c>
      <c r="B26" s="3">
        <v>14</v>
      </c>
      <c r="C26" s="4" t="s">
        <v>11</v>
      </c>
      <c r="D26" s="4" t="s">
        <v>12</v>
      </c>
      <c r="E26" s="5" t="s">
        <v>43</v>
      </c>
      <c r="F26" s="5" t="s">
        <v>44</v>
      </c>
      <c r="G26" s="6" t="s">
        <v>15</v>
      </c>
      <c r="H26" s="6" t="s">
        <v>20</v>
      </c>
      <c r="I26" s="8">
        <v>2</v>
      </c>
      <c r="J26" s="8">
        <v>2</v>
      </c>
      <c r="K26" s="8"/>
      <c r="L26"/>
      <c r="M26"/>
      <c r="N26"/>
      <c r="O26"/>
      <c r="P26"/>
      <c r="Q26"/>
      <c r="R26"/>
    </row>
    <row r="27" spans="1:18" s="2" customFormat="1" ht="41.4" x14ac:dyDescent="0.3">
      <c r="A27" s="24">
        <v>15</v>
      </c>
      <c r="B27" s="3">
        <v>15</v>
      </c>
      <c r="C27" s="4" t="s">
        <v>11</v>
      </c>
      <c r="D27" s="4" t="s">
        <v>12</v>
      </c>
      <c r="E27" s="5" t="s">
        <v>45</v>
      </c>
      <c r="F27" s="5" t="s">
        <v>46</v>
      </c>
      <c r="G27" s="6" t="s">
        <v>15</v>
      </c>
      <c r="H27" s="6" t="s">
        <v>20</v>
      </c>
      <c r="I27" s="8">
        <v>2</v>
      </c>
      <c r="J27" s="8">
        <v>2</v>
      </c>
      <c r="K27" s="8"/>
      <c r="L27"/>
      <c r="M27"/>
      <c r="N27"/>
      <c r="O27"/>
      <c r="P27"/>
      <c r="Q27"/>
      <c r="R27"/>
    </row>
    <row r="28" spans="1:18" s="2" customFormat="1" ht="41.4" x14ac:dyDescent="0.3">
      <c r="A28" s="24">
        <v>16</v>
      </c>
      <c r="B28" s="3">
        <v>16</v>
      </c>
      <c r="C28" s="4" t="s">
        <v>11</v>
      </c>
      <c r="D28" s="4" t="s">
        <v>12</v>
      </c>
      <c r="E28" s="5" t="s">
        <v>47</v>
      </c>
      <c r="F28" s="5" t="s">
        <v>48</v>
      </c>
      <c r="G28" s="6" t="s">
        <v>15</v>
      </c>
      <c r="H28" s="6" t="s">
        <v>20</v>
      </c>
      <c r="I28" s="8">
        <v>2</v>
      </c>
      <c r="J28" s="8">
        <v>2</v>
      </c>
      <c r="K28" s="8"/>
      <c r="L28"/>
      <c r="M28"/>
      <c r="N28"/>
      <c r="O28"/>
      <c r="P28"/>
      <c r="Q28"/>
      <c r="R28"/>
    </row>
    <row r="29" spans="1:18" s="2" customFormat="1" ht="41.4" x14ac:dyDescent="0.3">
      <c r="A29" s="24">
        <v>17</v>
      </c>
      <c r="B29" s="3">
        <v>17</v>
      </c>
      <c r="C29" s="4" t="s">
        <v>11</v>
      </c>
      <c r="D29" s="4" t="s">
        <v>12</v>
      </c>
      <c r="E29" s="5" t="s">
        <v>49</v>
      </c>
      <c r="F29" s="5" t="s">
        <v>50</v>
      </c>
      <c r="G29" s="6" t="s">
        <v>15</v>
      </c>
      <c r="H29" s="6" t="s">
        <v>20</v>
      </c>
      <c r="I29" s="8">
        <v>2</v>
      </c>
      <c r="J29" s="8">
        <v>2</v>
      </c>
      <c r="K29" s="8"/>
      <c r="L29"/>
      <c r="M29"/>
      <c r="N29"/>
      <c r="O29"/>
      <c r="P29"/>
      <c r="Q29"/>
      <c r="R29"/>
    </row>
    <row r="30" spans="1:18" s="2" customFormat="1" ht="41.4" x14ac:dyDescent="0.3">
      <c r="A30" s="24">
        <v>18</v>
      </c>
      <c r="B30" s="3">
        <v>18</v>
      </c>
      <c r="C30" s="4" t="s">
        <v>11</v>
      </c>
      <c r="D30" s="4" t="s">
        <v>12</v>
      </c>
      <c r="E30" s="5" t="s">
        <v>51</v>
      </c>
      <c r="F30" s="5" t="s">
        <v>52</v>
      </c>
      <c r="G30" s="6" t="s">
        <v>15</v>
      </c>
      <c r="H30" s="6" t="s">
        <v>20</v>
      </c>
      <c r="I30" s="8">
        <v>1</v>
      </c>
      <c r="J30" s="8">
        <v>1</v>
      </c>
      <c r="K30" s="8"/>
      <c r="L30"/>
      <c r="M30"/>
      <c r="N30"/>
      <c r="O30"/>
      <c r="P30"/>
      <c r="Q30"/>
      <c r="R30"/>
    </row>
    <row r="31" spans="1:18" s="2" customFormat="1" ht="41.4" x14ac:dyDescent="0.3">
      <c r="A31" s="24">
        <v>19</v>
      </c>
      <c r="B31" s="3">
        <v>19</v>
      </c>
      <c r="C31" s="4" t="s">
        <v>11</v>
      </c>
      <c r="D31" s="4" t="s">
        <v>12</v>
      </c>
      <c r="E31" s="5" t="s">
        <v>53</v>
      </c>
      <c r="F31" s="5" t="s">
        <v>54</v>
      </c>
      <c r="G31" s="6" t="s">
        <v>15</v>
      </c>
      <c r="H31" s="6" t="s">
        <v>20</v>
      </c>
      <c r="I31" s="8">
        <v>1</v>
      </c>
      <c r="J31" s="8">
        <v>1</v>
      </c>
      <c r="K31" s="8"/>
      <c r="L31"/>
      <c r="M31"/>
      <c r="N31"/>
      <c r="O31"/>
      <c r="P31"/>
      <c r="Q31"/>
      <c r="R31"/>
    </row>
    <row r="32" spans="1:18" s="2" customFormat="1" ht="41.4" x14ac:dyDescent="0.3">
      <c r="A32" s="24">
        <v>20</v>
      </c>
      <c r="B32" s="3">
        <v>20</v>
      </c>
      <c r="C32" s="4" t="s">
        <v>11</v>
      </c>
      <c r="D32" s="4" t="s">
        <v>12</v>
      </c>
      <c r="E32" s="5" t="s">
        <v>55</v>
      </c>
      <c r="F32" s="5" t="s">
        <v>56</v>
      </c>
      <c r="G32" s="6" t="s">
        <v>15</v>
      </c>
      <c r="H32" s="6" t="s">
        <v>20</v>
      </c>
      <c r="I32" s="8">
        <v>1</v>
      </c>
      <c r="J32" s="8">
        <v>1</v>
      </c>
      <c r="K32" s="8"/>
      <c r="L32"/>
      <c r="M32"/>
      <c r="N32"/>
      <c r="O32"/>
      <c r="P32"/>
      <c r="Q32"/>
      <c r="R32"/>
    </row>
    <row r="33" spans="1:18" s="2" customFormat="1" ht="41.4" x14ac:dyDescent="0.3">
      <c r="A33" s="24">
        <v>21</v>
      </c>
      <c r="B33" s="3">
        <v>21</v>
      </c>
      <c r="C33" s="4" t="s">
        <v>11</v>
      </c>
      <c r="D33" s="4" t="s">
        <v>12</v>
      </c>
      <c r="E33" s="5" t="s">
        <v>57</v>
      </c>
      <c r="F33" s="5" t="s">
        <v>58</v>
      </c>
      <c r="G33" s="6" t="s">
        <v>15</v>
      </c>
      <c r="H33" s="6" t="s">
        <v>20</v>
      </c>
      <c r="I33" s="8">
        <v>1</v>
      </c>
      <c r="J33" s="8">
        <v>1</v>
      </c>
      <c r="K33" s="8"/>
      <c r="L33"/>
      <c r="M33"/>
      <c r="N33"/>
      <c r="O33"/>
      <c r="P33"/>
      <c r="Q33"/>
      <c r="R33"/>
    </row>
    <row r="34" spans="1:18" s="2" customFormat="1" ht="41.4" x14ac:dyDescent="0.3">
      <c r="A34" s="24">
        <v>22</v>
      </c>
      <c r="B34" s="3">
        <v>22</v>
      </c>
      <c r="C34" s="4" t="s">
        <v>11</v>
      </c>
      <c r="D34" s="4" t="s">
        <v>12</v>
      </c>
      <c r="E34" s="5" t="s">
        <v>59</v>
      </c>
      <c r="F34" s="5" t="s">
        <v>60</v>
      </c>
      <c r="G34" s="6" t="s">
        <v>15</v>
      </c>
      <c r="H34" s="6" t="s">
        <v>20</v>
      </c>
      <c r="I34" s="8">
        <v>1</v>
      </c>
      <c r="J34" s="8">
        <v>1</v>
      </c>
      <c r="K34" s="8"/>
      <c r="L34"/>
      <c r="M34"/>
      <c r="N34"/>
      <c r="O34"/>
      <c r="P34"/>
      <c r="Q34"/>
      <c r="R34"/>
    </row>
    <row r="35" spans="1:18" s="2" customFormat="1" ht="41.4" x14ac:dyDescent="0.3">
      <c r="A35" s="24">
        <v>23</v>
      </c>
      <c r="B35" s="3">
        <v>23</v>
      </c>
      <c r="C35" s="4" t="s">
        <v>11</v>
      </c>
      <c r="D35" s="4" t="s">
        <v>12</v>
      </c>
      <c r="E35" s="5" t="s">
        <v>61</v>
      </c>
      <c r="F35" s="5" t="s">
        <v>62</v>
      </c>
      <c r="G35" s="6" t="s">
        <v>15</v>
      </c>
      <c r="H35" s="6" t="s">
        <v>20</v>
      </c>
      <c r="I35" s="8">
        <v>1</v>
      </c>
      <c r="J35" s="8">
        <v>1</v>
      </c>
      <c r="K35" s="8"/>
      <c r="L35"/>
      <c r="M35"/>
      <c r="N35"/>
      <c r="O35"/>
      <c r="P35"/>
      <c r="Q35"/>
      <c r="R35"/>
    </row>
    <row r="36" spans="1:18" s="7" customFormat="1" ht="41.4" x14ac:dyDescent="0.3">
      <c r="A36" s="24">
        <v>24</v>
      </c>
      <c r="B36" s="3">
        <v>24</v>
      </c>
      <c r="C36" s="4" t="s">
        <v>11</v>
      </c>
      <c r="D36" s="4" t="s">
        <v>12</v>
      </c>
      <c r="E36" s="5" t="s">
        <v>63</v>
      </c>
      <c r="F36" s="5" t="s">
        <v>64</v>
      </c>
      <c r="G36" s="6" t="s">
        <v>15</v>
      </c>
      <c r="H36" s="6" t="s">
        <v>20</v>
      </c>
      <c r="I36" s="8">
        <v>1</v>
      </c>
      <c r="J36" s="8">
        <v>1</v>
      </c>
      <c r="K36" s="8"/>
      <c r="L36"/>
      <c r="M36"/>
      <c r="N36"/>
      <c r="O36"/>
      <c r="P36"/>
      <c r="Q36"/>
      <c r="R36"/>
    </row>
    <row r="37" spans="1:18" s="7" customFormat="1" ht="41.4" x14ac:dyDescent="0.3">
      <c r="A37" s="24">
        <v>25</v>
      </c>
      <c r="B37" s="3">
        <v>25</v>
      </c>
      <c r="C37" s="4" t="s">
        <v>11</v>
      </c>
      <c r="D37" s="4" t="s">
        <v>12</v>
      </c>
      <c r="E37" s="5" t="s">
        <v>65</v>
      </c>
      <c r="F37" s="5" t="s">
        <v>66</v>
      </c>
      <c r="G37" s="6" t="s">
        <v>15</v>
      </c>
      <c r="H37" s="6" t="s">
        <v>20</v>
      </c>
      <c r="I37" s="8">
        <v>1</v>
      </c>
      <c r="J37" s="8">
        <v>1</v>
      </c>
      <c r="K37" s="8"/>
      <c r="L37"/>
      <c r="M37"/>
      <c r="N37"/>
      <c r="O37"/>
      <c r="P37"/>
      <c r="Q37"/>
      <c r="R37"/>
    </row>
    <row r="38" spans="1:18" s="7" customFormat="1" ht="41.4" x14ac:dyDescent="0.3">
      <c r="A38" s="24">
        <v>26</v>
      </c>
      <c r="B38" s="3">
        <v>26</v>
      </c>
      <c r="C38" s="4" t="s">
        <v>11</v>
      </c>
      <c r="D38" s="4" t="s">
        <v>12</v>
      </c>
      <c r="E38" s="5" t="s">
        <v>67</v>
      </c>
      <c r="F38" s="5" t="s">
        <v>68</v>
      </c>
      <c r="G38" s="6" t="s">
        <v>15</v>
      </c>
      <c r="H38" s="6" t="s">
        <v>20</v>
      </c>
      <c r="I38" s="8">
        <v>1</v>
      </c>
      <c r="J38" s="8">
        <v>1</v>
      </c>
      <c r="K38" s="8"/>
      <c r="L38"/>
      <c r="M38"/>
      <c r="N38"/>
      <c r="O38"/>
      <c r="P38"/>
      <c r="Q38"/>
      <c r="R38"/>
    </row>
    <row r="39" spans="1:18" s="7" customFormat="1" ht="41.4" x14ac:dyDescent="0.3">
      <c r="A39" s="24">
        <v>27</v>
      </c>
      <c r="B39" s="3">
        <v>27</v>
      </c>
      <c r="C39" s="4" t="s">
        <v>11</v>
      </c>
      <c r="D39" s="4" t="s">
        <v>12</v>
      </c>
      <c r="E39" s="5" t="s">
        <v>69</v>
      </c>
      <c r="F39" s="5" t="s">
        <v>70</v>
      </c>
      <c r="G39" s="6" t="s">
        <v>15</v>
      </c>
      <c r="H39" s="6" t="s">
        <v>20</v>
      </c>
      <c r="I39" s="8">
        <v>1</v>
      </c>
      <c r="J39" s="8">
        <v>1</v>
      </c>
      <c r="K39" s="8"/>
      <c r="L39"/>
      <c r="M39"/>
      <c r="N39"/>
      <c r="O39"/>
      <c r="P39"/>
      <c r="Q39"/>
      <c r="R39"/>
    </row>
    <row r="40" spans="1:18" s="7" customFormat="1" ht="41.4" x14ac:dyDescent="0.3">
      <c r="A40" s="24">
        <v>28</v>
      </c>
      <c r="B40" s="3">
        <v>28</v>
      </c>
      <c r="C40" s="4" t="s">
        <v>11</v>
      </c>
      <c r="D40" s="4" t="s">
        <v>12</v>
      </c>
      <c r="E40" s="5" t="s">
        <v>71</v>
      </c>
      <c r="F40" s="5" t="s">
        <v>72</v>
      </c>
      <c r="G40" s="6" t="s">
        <v>15</v>
      </c>
      <c r="H40" s="6" t="s">
        <v>20</v>
      </c>
      <c r="I40" s="8">
        <v>1</v>
      </c>
      <c r="J40" s="8">
        <v>1</v>
      </c>
      <c r="K40" s="8"/>
      <c r="L40"/>
      <c r="M40"/>
      <c r="N40"/>
      <c r="O40"/>
      <c r="P40"/>
      <c r="Q40"/>
      <c r="R40"/>
    </row>
    <row r="41" spans="1:18" s="7" customFormat="1" ht="41.4" x14ac:dyDescent="0.3">
      <c r="A41" s="24">
        <v>29</v>
      </c>
      <c r="B41" s="3">
        <v>29</v>
      </c>
      <c r="C41" s="4" t="s">
        <v>11</v>
      </c>
      <c r="D41" s="4" t="s">
        <v>12</v>
      </c>
      <c r="E41" s="5" t="s">
        <v>73</v>
      </c>
      <c r="F41" s="5" t="s">
        <v>74</v>
      </c>
      <c r="G41" s="6" t="s">
        <v>15</v>
      </c>
      <c r="H41" s="6" t="s">
        <v>20</v>
      </c>
      <c r="I41" s="8">
        <v>1</v>
      </c>
      <c r="J41" s="8">
        <v>1</v>
      </c>
      <c r="K41" s="8"/>
      <c r="L41"/>
      <c r="M41"/>
      <c r="N41"/>
      <c r="O41"/>
      <c r="P41"/>
      <c r="Q41"/>
      <c r="R41"/>
    </row>
    <row r="42" spans="1:18" s="7" customFormat="1" ht="41.4" x14ac:dyDescent="0.3">
      <c r="A42" s="24">
        <v>30</v>
      </c>
      <c r="B42" s="3">
        <v>30</v>
      </c>
      <c r="C42" s="4" t="s">
        <v>11</v>
      </c>
      <c r="D42" s="4" t="s">
        <v>12</v>
      </c>
      <c r="E42" s="5" t="s">
        <v>75</v>
      </c>
      <c r="F42" s="5" t="s">
        <v>76</v>
      </c>
      <c r="G42" s="6" t="s">
        <v>15</v>
      </c>
      <c r="H42" s="6" t="s">
        <v>20</v>
      </c>
      <c r="I42" s="8">
        <v>1</v>
      </c>
      <c r="J42" s="8">
        <v>1</v>
      </c>
      <c r="K42" s="8"/>
      <c r="L42"/>
      <c r="M42"/>
      <c r="N42"/>
      <c r="O42"/>
      <c r="P42"/>
      <c r="Q42"/>
      <c r="R42"/>
    </row>
    <row r="43" spans="1:18" s="7" customFormat="1" ht="41.4" x14ac:dyDescent="0.3">
      <c r="A43" s="24">
        <v>31</v>
      </c>
      <c r="B43" s="3">
        <v>31</v>
      </c>
      <c r="C43" s="4" t="s">
        <v>11</v>
      </c>
      <c r="D43" s="4" t="s">
        <v>12</v>
      </c>
      <c r="E43" s="5" t="s">
        <v>77</v>
      </c>
      <c r="F43" s="5" t="s">
        <v>78</v>
      </c>
      <c r="G43" s="6" t="s">
        <v>15</v>
      </c>
      <c r="H43" s="6" t="s">
        <v>20</v>
      </c>
      <c r="I43" s="8">
        <v>1</v>
      </c>
      <c r="J43" s="8">
        <v>1</v>
      </c>
      <c r="K43" s="8"/>
      <c r="L43"/>
      <c r="M43"/>
      <c r="N43"/>
      <c r="O43"/>
      <c r="P43"/>
      <c r="Q43"/>
      <c r="R43"/>
    </row>
    <row r="44" spans="1:18" s="7" customFormat="1" ht="41.4" x14ac:dyDescent="0.3">
      <c r="A44" s="24">
        <v>32</v>
      </c>
      <c r="B44" s="3">
        <v>32</v>
      </c>
      <c r="C44" s="4" t="s">
        <v>11</v>
      </c>
      <c r="D44" s="4" t="s">
        <v>12</v>
      </c>
      <c r="E44" s="5" t="s">
        <v>79</v>
      </c>
      <c r="F44" s="5" t="s">
        <v>80</v>
      </c>
      <c r="G44" s="6" t="s">
        <v>15</v>
      </c>
      <c r="H44" s="6" t="s">
        <v>20</v>
      </c>
      <c r="I44" s="8">
        <v>1</v>
      </c>
      <c r="J44" s="8">
        <v>1</v>
      </c>
      <c r="K44" s="8"/>
      <c r="L44"/>
      <c r="M44"/>
      <c r="N44"/>
      <c r="O44"/>
      <c r="P44"/>
      <c r="Q44"/>
      <c r="R44"/>
    </row>
    <row r="45" spans="1:18" s="7" customFormat="1" ht="41.4" x14ac:dyDescent="0.3">
      <c r="A45" s="24">
        <v>33</v>
      </c>
      <c r="B45" s="3">
        <v>33</v>
      </c>
      <c r="C45" s="4" t="s">
        <v>11</v>
      </c>
      <c r="D45" s="4" t="s">
        <v>12</v>
      </c>
      <c r="E45" s="9" t="s">
        <v>81</v>
      </c>
      <c r="F45" s="9" t="s">
        <v>82</v>
      </c>
      <c r="G45" s="10" t="s">
        <v>83</v>
      </c>
      <c r="H45" s="10" t="s">
        <v>20</v>
      </c>
      <c r="I45" s="11">
        <v>5</v>
      </c>
      <c r="J45" s="11">
        <v>5</v>
      </c>
      <c r="K45" s="11"/>
      <c r="L45"/>
      <c r="M45"/>
      <c r="N45"/>
      <c r="O45"/>
      <c r="P45"/>
      <c r="Q45"/>
      <c r="R45"/>
    </row>
    <row r="46" spans="1:18" s="7" customFormat="1" ht="41.4" x14ac:dyDescent="0.3">
      <c r="A46" s="24">
        <v>34</v>
      </c>
      <c r="B46" s="3">
        <v>34</v>
      </c>
      <c r="C46" s="4" t="s">
        <v>11</v>
      </c>
      <c r="D46" s="4" t="s">
        <v>12</v>
      </c>
      <c r="E46" s="9" t="s">
        <v>84</v>
      </c>
      <c r="F46" s="9" t="s">
        <v>85</v>
      </c>
      <c r="G46" s="10" t="s">
        <v>83</v>
      </c>
      <c r="H46" s="10" t="s">
        <v>20</v>
      </c>
      <c r="I46" s="11">
        <v>5</v>
      </c>
      <c r="J46" s="11">
        <v>5</v>
      </c>
      <c r="K46" s="11"/>
      <c r="L46"/>
      <c r="M46"/>
      <c r="N46"/>
      <c r="O46"/>
      <c r="P46"/>
      <c r="Q46"/>
      <c r="R46"/>
    </row>
    <row r="47" spans="1:18" s="7" customFormat="1" ht="41.4" x14ac:dyDescent="0.3">
      <c r="A47" s="24">
        <v>35</v>
      </c>
      <c r="B47" s="3">
        <v>35</v>
      </c>
      <c r="C47" s="4" t="s">
        <v>11</v>
      </c>
      <c r="D47" s="4" t="s">
        <v>12</v>
      </c>
      <c r="E47" s="9" t="s">
        <v>86</v>
      </c>
      <c r="F47" s="9" t="s">
        <v>87</v>
      </c>
      <c r="G47" s="10" t="s">
        <v>83</v>
      </c>
      <c r="H47" s="10" t="s">
        <v>20</v>
      </c>
      <c r="I47" s="11">
        <v>5</v>
      </c>
      <c r="J47" s="11">
        <v>5</v>
      </c>
      <c r="K47" s="11"/>
      <c r="L47"/>
      <c r="M47"/>
      <c r="N47"/>
      <c r="O47"/>
      <c r="P47"/>
      <c r="Q47"/>
      <c r="R47"/>
    </row>
    <row r="48" spans="1:18" s="7" customFormat="1" ht="41.4" x14ac:dyDescent="0.3">
      <c r="A48" s="24">
        <v>36</v>
      </c>
      <c r="B48" s="3">
        <v>36</v>
      </c>
      <c r="C48" s="4" t="s">
        <v>11</v>
      </c>
      <c r="D48" s="4" t="s">
        <v>12</v>
      </c>
      <c r="E48" s="9" t="s">
        <v>88</v>
      </c>
      <c r="F48" s="9" t="s">
        <v>89</v>
      </c>
      <c r="G48" s="10" t="s">
        <v>83</v>
      </c>
      <c r="H48" s="10" t="s">
        <v>20</v>
      </c>
      <c r="I48" s="11">
        <v>5</v>
      </c>
      <c r="J48" s="11">
        <v>5</v>
      </c>
      <c r="K48" s="11"/>
      <c r="L48"/>
      <c r="M48"/>
      <c r="N48"/>
      <c r="O48"/>
      <c r="P48"/>
      <c r="Q48"/>
      <c r="R48"/>
    </row>
    <row r="49" spans="1:18" s="7" customFormat="1" ht="41.4" x14ac:dyDescent="0.3">
      <c r="A49" s="24">
        <v>37</v>
      </c>
      <c r="B49" s="3">
        <v>37</v>
      </c>
      <c r="C49" s="4" t="s">
        <v>11</v>
      </c>
      <c r="D49" s="4" t="s">
        <v>12</v>
      </c>
      <c r="E49" s="9" t="s">
        <v>90</v>
      </c>
      <c r="F49" s="9" t="s">
        <v>91</v>
      </c>
      <c r="G49" s="10" t="s">
        <v>83</v>
      </c>
      <c r="H49" s="10" t="s">
        <v>20</v>
      </c>
      <c r="I49" s="11">
        <v>4</v>
      </c>
      <c r="J49" s="11">
        <v>4</v>
      </c>
      <c r="K49" s="11"/>
      <c r="L49"/>
      <c r="M49"/>
      <c r="N49"/>
      <c r="O49"/>
      <c r="P49"/>
      <c r="Q49"/>
      <c r="R49"/>
    </row>
    <row r="50" spans="1:18" s="7" customFormat="1" ht="41.4" x14ac:dyDescent="0.3">
      <c r="A50" s="24">
        <v>38</v>
      </c>
      <c r="B50" s="3">
        <v>38</v>
      </c>
      <c r="C50" s="4" t="s">
        <v>11</v>
      </c>
      <c r="D50" s="4" t="s">
        <v>12</v>
      </c>
      <c r="E50" s="9" t="s">
        <v>92</v>
      </c>
      <c r="F50" s="9" t="s">
        <v>93</v>
      </c>
      <c r="G50" s="10" t="s">
        <v>83</v>
      </c>
      <c r="H50" s="10" t="s">
        <v>20</v>
      </c>
      <c r="I50" s="11">
        <v>4</v>
      </c>
      <c r="J50" s="11">
        <v>4</v>
      </c>
      <c r="K50" s="11"/>
      <c r="L50"/>
      <c r="M50"/>
      <c r="N50"/>
      <c r="O50"/>
      <c r="P50"/>
      <c r="Q50"/>
      <c r="R50"/>
    </row>
    <row r="51" spans="1:18" s="7" customFormat="1" ht="41.4" x14ac:dyDescent="0.3">
      <c r="A51" s="24">
        <v>39</v>
      </c>
      <c r="B51" s="3">
        <v>39</v>
      </c>
      <c r="C51" s="4" t="s">
        <v>11</v>
      </c>
      <c r="D51" s="4" t="s">
        <v>12</v>
      </c>
      <c r="E51" s="9" t="s">
        <v>94</v>
      </c>
      <c r="F51" s="9" t="s">
        <v>95</v>
      </c>
      <c r="G51" s="10" t="s">
        <v>83</v>
      </c>
      <c r="H51" s="10" t="s">
        <v>20</v>
      </c>
      <c r="I51" s="11">
        <v>4</v>
      </c>
      <c r="J51" s="11">
        <v>4</v>
      </c>
      <c r="K51" s="11"/>
      <c r="L51"/>
      <c r="M51"/>
      <c r="N51"/>
      <c r="O51"/>
      <c r="P51"/>
      <c r="Q51"/>
      <c r="R51"/>
    </row>
    <row r="52" spans="1:18" s="2" customFormat="1" ht="41.4" x14ac:dyDescent="0.3">
      <c r="A52" s="24">
        <v>40</v>
      </c>
      <c r="B52" s="3">
        <v>40</v>
      </c>
      <c r="C52" s="4" t="s">
        <v>11</v>
      </c>
      <c r="D52" s="4" t="s">
        <v>12</v>
      </c>
      <c r="E52" s="9" t="s">
        <v>96</v>
      </c>
      <c r="F52" s="9" t="s">
        <v>97</v>
      </c>
      <c r="G52" s="10" t="s">
        <v>83</v>
      </c>
      <c r="H52" s="10" t="s">
        <v>20</v>
      </c>
      <c r="I52" s="11">
        <v>4</v>
      </c>
      <c r="J52" s="11">
        <v>4</v>
      </c>
      <c r="K52" s="11"/>
      <c r="L52"/>
      <c r="M52"/>
      <c r="N52"/>
      <c r="O52"/>
      <c r="P52"/>
      <c r="Q52"/>
      <c r="R52"/>
    </row>
    <row r="53" spans="1:18" s="2" customFormat="1" ht="41.4" x14ac:dyDescent="0.3">
      <c r="A53" s="24">
        <v>41</v>
      </c>
      <c r="B53" s="3">
        <v>41</v>
      </c>
      <c r="C53" s="4" t="s">
        <v>11</v>
      </c>
      <c r="D53" s="4" t="s">
        <v>12</v>
      </c>
      <c r="E53" s="9" t="s">
        <v>98</v>
      </c>
      <c r="F53" s="9" t="s">
        <v>99</v>
      </c>
      <c r="G53" s="10" t="s">
        <v>83</v>
      </c>
      <c r="H53" s="10" t="s">
        <v>20</v>
      </c>
      <c r="I53" s="11">
        <v>3</v>
      </c>
      <c r="J53" s="11">
        <v>3</v>
      </c>
      <c r="K53" s="11"/>
      <c r="L53"/>
      <c r="M53"/>
      <c r="N53"/>
      <c r="O53"/>
      <c r="P53"/>
      <c r="Q53"/>
      <c r="R53"/>
    </row>
    <row r="54" spans="1:18" s="2" customFormat="1" ht="41.4" x14ac:dyDescent="0.3">
      <c r="A54" s="24">
        <v>42</v>
      </c>
      <c r="B54" s="3">
        <v>42</v>
      </c>
      <c r="C54" s="4" t="s">
        <v>11</v>
      </c>
      <c r="D54" s="4" t="s">
        <v>12</v>
      </c>
      <c r="E54" s="9" t="s">
        <v>100</v>
      </c>
      <c r="F54" s="9" t="s">
        <v>101</v>
      </c>
      <c r="G54" s="10" t="s">
        <v>83</v>
      </c>
      <c r="H54" s="10" t="s">
        <v>20</v>
      </c>
      <c r="I54" s="11">
        <v>3</v>
      </c>
      <c r="J54" s="11">
        <v>3</v>
      </c>
      <c r="K54" s="11"/>
      <c r="L54"/>
      <c r="M54"/>
      <c r="N54"/>
      <c r="O54"/>
      <c r="P54"/>
      <c r="Q54"/>
      <c r="R54"/>
    </row>
    <row r="55" spans="1:18" s="2" customFormat="1" ht="41.4" x14ac:dyDescent="0.3">
      <c r="A55" s="24">
        <v>43</v>
      </c>
      <c r="B55" s="3">
        <v>43</v>
      </c>
      <c r="C55" s="4" t="s">
        <v>11</v>
      </c>
      <c r="D55" s="4" t="s">
        <v>12</v>
      </c>
      <c r="E55" s="9" t="s">
        <v>102</v>
      </c>
      <c r="F55" s="9" t="s">
        <v>103</v>
      </c>
      <c r="G55" s="10" t="s">
        <v>83</v>
      </c>
      <c r="H55" s="10" t="s">
        <v>20</v>
      </c>
      <c r="I55" s="11">
        <v>3</v>
      </c>
      <c r="J55" s="11">
        <v>3</v>
      </c>
      <c r="K55" s="11"/>
      <c r="L55"/>
      <c r="M55"/>
      <c r="N55"/>
      <c r="O55"/>
      <c r="P55"/>
      <c r="Q55"/>
      <c r="R55"/>
    </row>
    <row r="56" spans="1:18" s="2" customFormat="1" ht="41.4" x14ac:dyDescent="0.3">
      <c r="A56" s="24">
        <v>44</v>
      </c>
      <c r="B56" s="3">
        <v>44</v>
      </c>
      <c r="C56" s="4" t="s">
        <v>11</v>
      </c>
      <c r="D56" s="4" t="s">
        <v>12</v>
      </c>
      <c r="E56" s="9" t="s">
        <v>104</v>
      </c>
      <c r="F56" s="9" t="s">
        <v>105</v>
      </c>
      <c r="G56" s="10" t="s">
        <v>83</v>
      </c>
      <c r="H56" s="10" t="s">
        <v>20</v>
      </c>
      <c r="I56" s="11">
        <v>3</v>
      </c>
      <c r="J56" s="11">
        <v>3</v>
      </c>
      <c r="K56" s="11"/>
      <c r="L56"/>
      <c r="M56"/>
      <c r="N56"/>
      <c r="O56"/>
      <c r="P56"/>
      <c r="Q56"/>
      <c r="R56"/>
    </row>
    <row r="57" spans="1:18" s="2" customFormat="1" ht="41.4" x14ac:dyDescent="0.3">
      <c r="A57" s="24">
        <v>45</v>
      </c>
      <c r="B57" s="3">
        <v>45</v>
      </c>
      <c r="C57" s="4" t="s">
        <v>11</v>
      </c>
      <c r="D57" s="4" t="s">
        <v>12</v>
      </c>
      <c r="E57" s="9" t="s">
        <v>106</v>
      </c>
      <c r="F57" s="9" t="s">
        <v>107</v>
      </c>
      <c r="G57" s="10" t="s">
        <v>83</v>
      </c>
      <c r="H57" s="10" t="s">
        <v>20</v>
      </c>
      <c r="I57" s="11">
        <v>2</v>
      </c>
      <c r="J57" s="11">
        <v>2</v>
      </c>
      <c r="K57" s="11"/>
      <c r="L57"/>
      <c r="M57"/>
      <c r="N57"/>
      <c r="O57"/>
      <c r="P57"/>
      <c r="Q57"/>
      <c r="R57"/>
    </row>
    <row r="58" spans="1:18" s="2" customFormat="1" ht="41.4" x14ac:dyDescent="0.3">
      <c r="A58" s="24">
        <v>46</v>
      </c>
      <c r="B58" s="3">
        <v>46</v>
      </c>
      <c r="C58" s="4" t="s">
        <v>11</v>
      </c>
      <c r="D58" s="4" t="s">
        <v>12</v>
      </c>
      <c r="E58" s="9" t="s">
        <v>108</v>
      </c>
      <c r="F58" s="9" t="s">
        <v>109</v>
      </c>
      <c r="G58" s="10" t="s">
        <v>83</v>
      </c>
      <c r="H58" s="10" t="s">
        <v>20</v>
      </c>
      <c r="I58" s="11">
        <v>2</v>
      </c>
      <c r="J58" s="11">
        <v>2</v>
      </c>
      <c r="K58" s="11"/>
      <c r="L58"/>
      <c r="M58"/>
      <c r="N58"/>
      <c r="O58"/>
      <c r="P58"/>
      <c r="Q58"/>
      <c r="R58"/>
    </row>
    <row r="59" spans="1:18" s="2" customFormat="1" ht="55.2" x14ac:dyDescent="0.3">
      <c r="A59" s="24">
        <v>47</v>
      </c>
      <c r="B59" s="12">
        <v>1</v>
      </c>
      <c r="C59" s="4" t="s">
        <v>11</v>
      </c>
      <c r="D59" s="13" t="s">
        <v>110</v>
      </c>
      <c r="E59" s="14" t="s">
        <v>111</v>
      </c>
      <c r="F59" s="14" t="s">
        <v>112</v>
      </c>
      <c r="G59" s="6" t="s">
        <v>15</v>
      </c>
      <c r="H59" s="6" t="s">
        <v>16</v>
      </c>
      <c r="I59" s="8" t="s">
        <v>17</v>
      </c>
      <c r="J59" s="8" t="s">
        <v>17</v>
      </c>
      <c r="K59" s="8"/>
      <c r="L59"/>
      <c r="M59"/>
      <c r="N59"/>
      <c r="O59"/>
      <c r="P59"/>
      <c r="Q59"/>
      <c r="R59"/>
    </row>
    <row r="60" spans="1:18" s="2" customFormat="1" ht="55.2" x14ac:dyDescent="0.3">
      <c r="A60" s="24">
        <v>48</v>
      </c>
      <c r="B60" s="12">
        <v>2</v>
      </c>
      <c r="C60" s="4" t="s">
        <v>11</v>
      </c>
      <c r="D60" s="13" t="s">
        <v>110</v>
      </c>
      <c r="E60" s="14" t="s">
        <v>113</v>
      </c>
      <c r="F60" s="14" t="s">
        <v>114</v>
      </c>
      <c r="G60" s="6" t="s">
        <v>15</v>
      </c>
      <c r="H60" s="6" t="s">
        <v>16</v>
      </c>
      <c r="I60" s="8" t="s">
        <v>17</v>
      </c>
      <c r="J60" s="8" t="s">
        <v>17</v>
      </c>
      <c r="K60" s="8"/>
      <c r="L60"/>
      <c r="M60"/>
      <c r="N60"/>
      <c r="O60"/>
      <c r="P60"/>
      <c r="Q60"/>
      <c r="R60"/>
    </row>
    <row r="61" spans="1:18" s="2" customFormat="1" ht="41.4" x14ac:dyDescent="0.3">
      <c r="A61" s="24">
        <v>49</v>
      </c>
      <c r="B61" s="12">
        <v>3</v>
      </c>
      <c r="C61" s="4" t="s">
        <v>11</v>
      </c>
      <c r="D61" s="13" t="s">
        <v>110</v>
      </c>
      <c r="E61" s="14" t="s">
        <v>115</v>
      </c>
      <c r="F61" s="14" t="s">
        <v>116</v>
      </c>
      <c r="G61" s="6" t="s">
        <v>15</v>
      </c>
      <c r="H61" s="6" t="s">
        <v>16</v>
      </c>
      <c r="I61" s="8" t="s">
        <v>17</v>
      </c>
      <c r="J61" s="8" t="s">
        <v>17</v>
      </c>
      <c r="K61" s="8"/>
      <c r="L61"/>
      <c r="M61"/>
      <c r="N61"/>
      <c r="O61"/>
      <c r="P61"/>
      <c r="Q61"/>
      <c r="R61"/>
    </row>
    <row r="62" spans="1:18" s="2" customFormat="1" ht="41.4" x14ac:dyDescent="0.3">
      <c r="A62" s="24">
        <v>50</v>
      </c>
      <c r="B62" s="12">
        <v>4</v>
      </c>
      <c r="C62" s="4" t="s">
        <v>11</v>
      </c>
      <c r="D62" s="13" t="s">
        <v>110</v>
      </c>
      <c r="E62" s="14" t="s">
        <v>117</v>
      </c>
      <c r="F62" s="14" t="s">
        <v>118</v>
      </c>
      <c r="G62" s="6" t="s">
        <v>15</v>
      </c>
      <c r="H62" s="6" t="s">
        <v>16</v>
      </c>
      <c r="I62" s="8" t="s">
        <v>17</v>
      </c>
      <c r="J62" s="8" t="s">
        <v>17</v>
      </c>
      <c r="K62" s="8"/>
      <c r="L62"/>
      <c r="M62"/>
      <c r="N62"/>
      <c r="O62"/>
      <c r="P62"/>
      <c r="Q62"/>
      <c r="R62"/>
    </row>
    <row r="63" spans="1:18" s="2" customFormat="1" ht="55.2" x14ac:dyDescent="0.3">
      <c r="A63" s="24">
        <v>51</v>
      </c>
      <c r="B63" s="12">
        <v>5</v>
      </c>
      <c r="C63" s="4" t="s">
        <v>11</v>
      </c>
      <c r="D63" s="13" t="s">
        <v>110</v>
      </c>
      <c r="E63" s="14" t="s">
        <v>119</v>
      </c>
      <c r="F63" s="14" t="s">
        <v>120</v>
      </c>
      <c r="G63" s="6" t="s">
        <v>15</v>
      </c>
      <c r="H63" s="6" t="s">
        <v>16</v>
      </c>
      <c r="I63" s="8" t="s">
        <v>17</v>
      </c>
      <c r="J63" s="8" t="s">
        <v>17</v>
      </c>
      <c r="K63" s="8"/>
      <c r="L63"/>
      <c r="M63"/>
      <c r="N63"/>
      <c r="O63"/>
      <c r="P63"/>
      <c r="Q63"/>
      <c r="R63"/>
    </row>
    <row r="64" spans="1:18" s="2" customFormat="1" ht="41.4" x14ac:dyDescent="0.3">
      <c r="A64" s="24">
        <v>52</v>
      </c>
      <c r="B64" s="12">
        <v>6</v>
      </c>
      <c r="C64" s="4" t="s">
        <v>11</v>
      </c>
      <c r="D64" s="13" t="s">
        <v>110</v>
      </c>
      <c r="E64" s="14" t="s">
        <v>121</v>
      </c>
      <c r="F64" s="14" t="s">
        <v>122</v>
      </c>
      <c r="G64" s="6" t="s">
        <v>15</v>
      </c>
      <c r="H64" s="6" t="s">
        <v>16</v>
      </c>
      <c r="I64" s="8" t="s">
        <v>17</v>
      </c>
      <c r="J64" s="8" t="s">
        <v>17</v>
      </c>
      <c r="K64" s="8"/>
      <c r="L64"/>
      <c r="M64"/>
      <c r="N64"/>
      <c r="O64"/>
      <c r="P64"/>
      <c r="Q64"/>
      <c r="R64"/>
    </row>
    <row r="65" spans="1:18" s="2" customFormat="1" ht="55.2" x14ac:dyDescent="0.3">
      <c r="A65" s="24">
        <v>53</v>
      </c>
      <c r="B65" s="12">
        <v>7</v>
      </c>
      <c r="C65" s="4" t="s">
        <v>11</v>
      </c>
      <c r="D65" s="13" t="s">
        <v>110</v>
      </c>
      <c r="E65" s="14" t="s">
        <v>123</v>
      </c>
      <c r="F65" s="14" t="s">
        <v>124</v>
      </c>
      <c r="G65" s="6" t="s">
        <v>15</v>
      </c>
      <c r="H65" s="6" t="s">
        <v>16</v>
      </c>
      <c r="I65" s="8" t="s">
        <v>17</v>
      </c>
      <c r="J65" s="8" t="s">
        <v>17</v>
      </c>
      <c r="K65" s="8"/>
      <c r="L65"/>
      <c r="M65"/>
      <c r="N65"/>
      <c r="O65"/>
      <c r="P65"/>
      <c r="Q65"/>
      <c r="R65"/>
    </row>
    <row r="66" spans="1:18" s="2" customFormat="1" ht="55.2" x14ac:dyDescent="0.3">
      <c r="A66" s="24">
        <v>54</v>
      </c>
      <c r="B66" s="12">
        <v>8</v>
      </c>
      <c r="C66" s="4" t="s">
        <v>11</v>
      </c>
      <c r="D66" s="13" t="s">
        <v>110</v>
      </c>
      <c r="E66" s="15" t="s">
        <v>125</v>
      </c>
      <c r="F66" s="15" t="s">
        <v>126</v>
      </c>
      <c r="G66" s="16" t="s">
        <v>127</v>
      </c>
      <c r="H66" s="16" t="s">
        <v>16</v>
      </c>
      <c r="I66" s="17" t="s">
        <v>17</v>
      </c>
      <c r="J66" s="17" t="s">
        <v>17</v>
      </c>
      <c r="K66" s="17"/>
      <c r="L66"/>
      <c r="M66"/>
      <c r="N66"/>
      <c r="O66"/>
      <c r="P66"/>
      <c r="Q66"/>
      <c r="R66"/>
    </row>
    <row r="67" spans="1:18" s="2" customFormat="1" ht="41.4" x14ac:dyDescent="0.3">
      <c r="A67" s="24">
        <v>55</v>
      </c>
      <c r="B67" s="12">
        <v>9</v>
      </c>
      <c r="C67" s="4" t="s">
        <v>11</v>
      </c>
      <c r="D67" s="13" t="s">
        <v>110</v>
      </c>
      <c r="E67" s="15" t="s">
        <v>128</v>
      </c>
      <c r="F67" s="15" t="s">
        <v>129</v>
      </c>
      <c r="G67" s="16" t="s">
        <v>127</v>
      </c>
      <c r="H67" s="16" t="s">
        <v>16</v>
      </c>
      <c r="I67" s="17" t="s">
        <v>17</v>
      </c>
      <c r="J67" s="17" t="s">
        <v>17</v>
      </c>
      <c r="K67" s="17"/>
      <c r="L67"/>
      <c r="M67"/>
      <c r="N67"/>
      <c r="O67"/>
      <c r="P67"/>
      <c r="Q67"/>
      <c r="R67"/>
    </row>
    <row r="68" spans="1:18" s="2" customFormat="1" ht="55.2" x14ac:dyDescent="0.3">
      <c r="A68" s="24">
        <v>56</v>
      </c>
      <c r="B68" s="12">
        <v>10</v>
      </c>
      <c r="C68" s="4" t="s">
        <v>11</v>
      </c>
      <c r="D68" s="13" t="s">
        <v>110</v>
      </c>
      <c r="E68" s="14" t="s">
        <v>130</v>
      </c>
      <c r="F68" s="14" t="s">
        <v>131</v>
      </c>
      <c r="G68" s="6" t="s">
        <v>15</v>
      </c>
      <c r="H68" s="6" t="s">
        <v>20</v>
      </c>
      <c r="I68" s="8">
        <v>4</v>
      </c>
      <c r="J68" s="8">
        <v>4</v>
      </c>
      <c r="K68" s="8"/>
      <c r="L68"/>
      <c r="M68"/>
      <c r="N68"/>
      <c r="O68"/>
      <c r="P68"/>
      <c r="Q68"/>
      <c r="R68"/>
    </row>
    <row r="69" spans="1:18" s="2" customFormat="1" ht="41.4" x14ac:dyDescent="0.3">
      <c r="A69" s="24">
        <v>57</v>
      </c>
      <c r="B69" s="12">
        <v>11</v>
      </c>
      <c r="C69" s="4" t="s">
        <v>11</v>
      </c>
      <c r="D69" s="13" t="s">
        <v>110</v>
      </c>
      <c r="E69" s="14" t="s">
        <v>132</v>
      </c>
      <c r="F69" s="14" t="s">
        <v>133</v>
      </c>
      <c r="G69" s="6" t="s">
        <v>15</v>
      </c>
      <c r="H69" s="6" t="s">
        <v>20</v>
      </c>
      <c r="I69" s="8">
        <v>3</v>
      </c>
      <c r="J69" s="8">
        <v>3</v>
      </c>
      <c r="K69" s="8"/>
      <c r="L69"/>
      <c r="M69"/>
      <c r="N69"/>
      <c r="O69"/>
      <c r="P69"/>
      <c r="Q69"/>
      <c r="R69"/>
    </row>
    <row r="70" spans="1:18" s="2" customFormat="1" ht="55.2" x14ac:dyDescent="0.3">
      <c r="A70" s="24">
        <v>58</v>
      </c>
      <c r="B70" s="12">
        <v>12</v>
      </c>
      <c r="C70" s="4" t="s">
        <v>11</v>
      </c>
      <c r="D70" s="13" t="s">
        <v>110</v>
      </c>
      <c r="E70" s="14" t="s">
        <v>134</v>
      </c>
      <c r="F70" s="14" t="s">
        <v>135</v>
      </c>
      <c r="G70" s="6" t="s">
        <v>15</v>
      </c>
      <c r="H70" s="6" t="s">
        <v>20</v>
      </c>
      <c r="I70" s="8">
        <v>3</v>
      </c>
      <c r="J70" s="8">
        <v>3</v>
      </c>
      <c r="K70" s="8"/>
      <c r="L70"/>
      <c r="M70"/>
      <c r="N70"/>
      <c r="O70"/>
      <c r="P70"/>
      <c r="Q70"/>
      <c r="R70"/>
    </row>
    <row r="71" spans="1:18" s="2" customFormat="1" ht="41.4" x14ac:dyDescent="0.3">
      <c r="A71" s="24">
        <v>59</v>
      </c>
      <c r="B71" s="12">
        <v>13</v>
      </c>
      <c r="C71" s="4" t="s">
        <v>11</v>
      </c>
      <c r="D71" s="13" t="s">
        <v>110</v>
      </c>
      <c r="E71" s="14" t="s">
        <v>136</v>
      </c>
      <c r="F71" s="14" t="s">
        <v>137</v>
      </c>
      <c r="G71" s="6" t="s">
        <v>15</v>
      </c>
      <c r="H71" s="6" t="s">
        <v>20</v>
      </c>
      <c r="I71" s="8">
        <v>2</v>
      </c>
      <c r="J71" s="8">
        <v>2</v>
      </c>
      <c r="K71" s="8"/>
      <c r="L71"/>
      <c r="M71"/>
      <c r="N71"/>
      <c r="O71"/>
      <c r="P71"/>
      <c r="Q71"/>
      <c r="R71"/>
    </row>
    <row r="72" spans="1:18" s="2" customFormat="1" ht="41.4" x14ac:dyDescent="0.3">
      <c r="A72" s="24">
        <v>60</v>
      </c>
      <c r="B72" s="12">
        <v>14</v>
      </c>
      <c r="C72" s="4" t="s">
        <v>11</v>
      </c>
      <c r="D72" s="13" t="s">
        <v>110</v>
      </c>
      <c r="E72" s="14" t="s">
        <v>138</v>
      </c>
      <c r="F72" s="14" t="s">
        <v>139</v>
      </c>
      <c r="G72" s="6" t="s">
        <v>15</v>
      </c>
      <c r="H72" s="6" t="s">
        <v>20</v>
      </c>
      <c r="I72" s="8">
        <v>2</v>
      </c>
      <c r="J72" s="8">
        <v>2</v>
      </c>
      <c r="K72" s="8"/>
      <c r="L72"/>
      <c r="M72"/>
      <c r="N72"/>
      <c r="O72"/>
      <c r="P72"/>
      <c r="Q72"/>
      <c r="R72"/>
    </row>
    <row r="73" spans="1:18" s="2" customFormat="1" ht="41.4" x14ac:dyDescent="0.3">
      <c r="A73" s="24">
        <v>61</v>
      </c>
      <c r="B73" s="12">
        <v>15</v>
      </c>
      <c r="C73" s="4" t="s">
        <v>11</v>
      </c>
      <c r="D73" s="13" t="s">
        <v>110</v>
      </c>
      <c r="E73" s="14" t="s">
        <v>140</v>
      </c>
      <c r="F73" s="14" t="s">
        <v>141</v>
      </c>
      <c r="G73" s="6" t="s">
        <v>15</v>
      </c>
      <c r="H73" s="6" t="s">
        <v>20</v>
      </c>
      <c r="I73" s="8">
        <v>2</v>
      </c>
      <c r="J73" s="8">
        <v>2</v>
      </c>
      <c r="K73" s="8"/>
      <c r="L73"/>
      <c r="M73"/>
      <c r="N73"/>
      <c r="O73"/>
      <c r="P73"/>
      <c r="Q73"/>
      <c r="R73"/>
    </row>
    <row r="74" spans="1:18" s="2" customFormat="1" ht="41.4" x14ac:dyDescent="0.3">
      <c r="A74" s="24">
        <v>62</v>
      </c>
      <c r="B74" s="12">
        <v>16</v>
      </c>
      <c r="C74" s="4" t="s">
        <v>11</v>
      </c>
      <c r="D74" s="13" t="s">
        <v>110</v>
      </c>
      <c r="E74" s="15" t="s">
        <v>142</v>
      </c>
      <c r="F74" s="15" t="s">
        <v>143</v>
      </c>
      <c r="G74" s="16" t="s">
        <v>127</v>
      </c>
      <c r="H74" s="16" t="s">
        <v>20</v>
      </c>
      <c r="I74" s="17">
        <v>5</v>
      </c>
      <c r="J74" s="17">
        <v>5</v>
      </c>
      <c r="K74" s="17"/>
      <c r="L74"/>
      <c r="M74"/>
      <c r="N74"/>
      <c r="O74"/>
      <c r="P74"/>
      <c r="Q74"/>
      <c r="R74"/>
    </row>
    <row r="75" spans="1:18" s="2" customFormat="1" ht="41.4" x14ac:dyDescent="0.3">
      <c r="A75" s="24">
        <v>63</v>
      </c>
      <c r="B75" s="12">
        <v>17</v>
      </c>
      <c r="C75" s="4" t="s">
        <v>11</v>
      </c>
      <c r="D75" s="13" t="s">
        <v>110</v>
      </c>
      <c r="E75" s="15" t="s">
        <v>144</v>
      </c>
      <c r="F75" s="15" t="s">
        <v>145</v>
      </c>
      <c r="G75" s="16" t="s">
        <v>127</v>
      </c>
      <c r="H75" s="16" t="s">
        <v>20</v>
      </c>
      <c r="I75" s="17">
        <v>5</v>
      </c>
      <c r="J75" s="17">
        <v>5</v>
      </c>
      <c r="K75" s="17"/>
      <c r="L75"/>
      <c r="M75"/>
      <c r="N75"/>
      <c r="O75"/>
      <c r="P75"/>
      <c r="Q75"/>
      <c r="R75"/>
    </row>
    <row r="76" spans="1:18" s="2" customFormat="1" ht="41.4" x14ac:dyDescent="0.3">
      <c r="A76" s="24">
        <v>64</v>
      </c>
      <c r="B76" s="12">
        <v>18</v>
      </c>
      <c r="C76" s="4" t="s">
        <v>11</v>
      </c>
      <c r="D76" s="13" t="s">
        <v>110</v>
      </c>
      <c r="E76" s="15" t="s">
        <v>146</v>
      </c>
      <c r="F76" s="15" t="s">
        <v>147</v>
      </c>
      <c r="G76" s="16" t="s">
        <v>127</v>
      </c>
      <c r="H76" s="16" t="s">
        <v>20</v>
      </c>
      <c r="I76" s="17">
        <v>5</v>
      </c>
      <c r="J76" s="17">
        <v>5</v>
      </c>
      <c r="K76" s="17"/>
      <c r="L76"/>
      <c r="M76"/>
      <c r="N76"/>
      <c r="O76"/>
      <c r="P76"/>
      <c r="Q76"/>
      <c r="R76"/>
    </row>
    <row r="77" spans="1:18" s="2" customFormat="1" ht="41.4" x14ac:dyDescent="0.3">
      <c r="A77" s="24">
        <v>65</v>
      </c>
      <c r="B77" s="12">
        <v>19</v>
      </c>
      <c r="C77" s="4" t="s">
        <v>11</v>
      </c>
      <c r="D77" s="13" t="s">
        <v>110</v>
      </c>
      <c r="E77" s="15" t="s">
        <v>148</v>
      </c>
      <c r="F77" s="15" t="s">
        <v>149</v>
      </c>
      <c r="G77" s="16" t="s">
        <v>127</v>
      </c>
      <c r="H77" s="16" t="s">
        <v>20</v>
      </c>
      <c r="I77" s="17">
        <v>5</v>
      </c>
      <c r="J77" s="17">
        <v>5</v>
      </c>
      <c r="K77" s="17"/>
      <c r="L77"/>
      <c r="M77"/>
      <c r="N77"/>
      <c r="O77"/>
      <c r="P77"/>
      <c r="Q77"/>
      <c r="R77"/>
    </row>
    <row r="78" spans="1:18" s="2" customFormat="1" ht="41.4" x14ac:dyDescent="0.3">
      <c r="A78" s="24">
        <v>66</v>
      </c>
      <c r="B78" s="12">
        <v>20</v>
      </c>
      <c r="C78" s="4" t="s">
        <v>11</v>
      </c>
      <c r="D78" s="13" t="s">
        <v>110</v>
      </c>
      <c r="E78" s="15" t="s">
        <v>150</v>
      </c>
      <c r="F78" s="15" t="s">
        <v>151</v>
      </c>
      <c r="G78" s="16" t="s">
        <v>127</v>
      </c>
      <c r="H78" s="16" t="s">
        <v>20</v>
      </c>
      <c r="I78" s="17">
        <v>5</v>
      </c>
      <c r="J78" s="17">
        <v>5</v>
      </c>
      <c r="K78" s="17"/>
      <c r="L78"/>
      <c r="M78"/>
      <c r="N78"/>
      <c r="O78"/>
      <c r="P78"/>
      <c r="Q78"/>
      <c r="R78"/>
    </row>
    <row r="79" spans="1:18" s="2" customFormat="1" ht="41.4" x14ac:dyDescent="0.3">
      <c r="A79" s="24">
        <v>67</v>
      </c>
      <c r="B79" s="12">
        <v>21</v>
      </c>
      <c r="C79" s="4" t="s">
        <v>11</v>
      </c>
      <c r="D79" s="13" t="s">
        <v>110</v>
      </c>
      <c r="E79" s="15" t="s">
        <v>152</v>
      </c>
      <c r="F79" s="15" t="s">
        <v>153</v>
      </c>
      <c r="G79" s="16" t="s">
        <v>127</v>
      </c>
      <c r="H79" s="16" t="s">
        <v>20</v>
      </c>
      <c r="I79" s="17">
        <v>5</v>
      </c>
      <c r="J79" s="17">
        <v>5</v>
      </c>
      <c r="K79" s="17"/>
      <c r="L79"/>
      <c r="M79"/>
      <c r="N79"/>
      <c r="O79"/>
      <c r="P79"/>
      <c r="Q79"/>
      <c r="R79"/>
    </row>
    <row r="80" spans="1:18" s="2" customFormat="1" ht="41.4" x14ac:dyDescent="0.3">
      <c r="A80" s="24">
        <v>68</v>
      </c>
      <c r="B80" s="12">
        <v>22</v>
      </c>
      <c r="C80" s="4" t="s">
        <v>11</v>
      </c>
      <c r="D80" s="13" t="s">
        <v>110</v>
      </c>
      <c r="E80" s="18" t="s">
        <v>154</v>
      </c>
      <c r="F80" s="18" t="s">
        <v>155</v>
      </c>
      <c r="G80" s="10" t="s">
        <v>83</v>
      </c>
      <c r="H80" s="10" t="s">
        <v>20</v>
      </c>
      <c r="I80" s="11">
        <v>5</v>
      </c>
      <c r="J80" s="11">
        <v>5</v>
      </c>
      <c r="K80" s="11"/>
      <c r="L80"/>
      <c r="M80"/>
      <c r="N80"/>
      <c r="O80"/>
      <c r="P80"/>
      <c r="Q80"/>
      <c r="R80"/>
    </row>
    <row r="81" spans="1:18" s="2" customFormat="1" ht="41.4" x14ac:dyDescent="0.3">
      <c r="A81" s="24">
        <v>69</v>
      </c>
      <c r="B81" s="12">
        <v>23</v>
      </c>
      <c r="C81" s="4" t="s">
        <v>11</v>
      </c>
      <c r="D81" s="13" t="s">
        <v>110</v>
      </c>
      <c r="E81" s="18" t="s">
        <v>156</v>
      </c>
      <c r="F81" s="18" t="s">
        <v>157</v>
      </c>
      <c r="G81" s="10" t="s">
        <v>83</v>
      </c>
      <c r="H81" s="10" t="s">
        <v>20</v>
      </c>
      <c r="I81" s="11">
        <v>5</v>
      </c>
      <c r="J81" s="11">
        <v>5</v>
      </c>
      <c r="K81" s="11"/>
      <c r="L81"/>
      <c r="M81"/>
      <c r="N81"/>
      <c r="O81"/>
      <c r="P81"/>
      <c r="Q81"/>
      <c r="R81"/>
    </row>
    <row r="82" spans="1:18" s="2" customFormat="1" ht="41.4" x14ac:dyDescent="0.3">
      <c r="A82" s="24">
        <v>70</v>
      </c>
      <c r="B82" s="12">
        <v>24</v>
      </c>
      <c r="C82" s="4" t="s">
        <v>11</v>
      </c>
      <c r="D82" s="13" t="s">
        <v>110</v>
      </c>
      <c r="E82" s="18" t="s">
        <v>158</v>
      </c>
      <c r="F82" s="18" t="s">
        <v>159</v>
      </c>
      <c r="G82" s="10" t="s">
        <v>83</v>
      </c>
      <c r="H82" s="10" t="s">
        <v>20</v>
      </c>
      <c r="I82" s="11">
        <v>5</v>
      </c>
      <c r="J82" s="11">
        <v>5</v>
      </c>
      <c r="K82" s="11"/>
      <c r="L82"/>
      <c r="M82"/>
      <c r="N82"/>
      <c r="O82"/>
      <c r="P82"/>
      <c r="Q82"/>
      <c r="R82"/>
    </row>
    <row r="83" spans="1:18" s="2" customFormat="1" ht="41.4" x14ac:dyDescent="0.3">
      <c r="A83" s="24">
        <v>71</v>
      </c>
      <c r="B83" s="12">
        <v>25</v>
      </c>
      <c r="C83" s="4" t="s">
        <v>11</v>
      </c>
      <c r="D83" s="13" t="s">
        <v>110</v>
      </c>
      <c r="E83" s="18" t="s">
        <v>160</v>
      </c>
      <c r="F83" s="18" t="s">
        <v>161</v>
      </c>
      <c r="G83" s="10" t="s">
        <v>83</v>
      </c>
      <c r="H83" s="10" t="s">
        <v>20</v>
      </c>
      <c r="I83" s="11">
        <v>5</v>
      </c>
      <c r="J83" s="11">
        <v>5</v>
      </c>
      <c r="K83" s="11"/>
      <c r="L83"/>
      <c r="M83"/>
      <c r="N83"/>
      <c r="O83"/>
      <c r="P83"/>
      <c r="Q83"/>
      <c r="R83"/>
    </row>
    <row r="84" spans="1:18" s="2" customFormat="1" ht="41.4" x14ac:dyDescent="0.3">
      <c r="A84" s="24">
        <v>72</v>
      </c>
      <c r="B84" s="12">
        <v>26</v>
      </c>
      <c r="C84" s="4" t="s">
        <v>11</v>
      </c>
      <c r="D84" s="13" t="s">
        <v>110</v>
      </c>
      <c r="E84" s="18" t="s">
        <v>162</v>
      </c>
      <c r="F84" s="18" t="s">
        <v>163</v>
      </c>
      <c r="G84" s="10" t="s">
        <v>83</v>
      </c>
      <c r="H84" s="10" t="s">
        <v>20</v>
      </c>
      <c r="I84" s="11">
        <v>5</v>
      </c>
      <c r="J84" s="11">
        <v>5</v>
      </c>
      <c r="K84" s="11"/>
      <c r="L84"/>
      <c r="M84"/>
      <c r="N84"/>
      <c r="O84"/>
      <c r="P84"/>
      <c r="Q84"/>
      <c r="R84"/>
    </row>
    <row r="85" spans="1:18" s="2" customFormat="1" ht="41.4" x14ac:dyDescent="0.3">
      <c r="A85" s="24">
        <v>73</v>
      </c>
      <c r="B85" s="12">
        <v>27</v>
      </c>
      <c r="C85" s="4" t="s">
        <v>11</v>
      </c>
      <c r="D85" s="13" t="s">
        <v>110</v>
      </c>
      <c r="E85" s="18" t="s">
        <v>164</v>
      </c>
      <c r="F85" s="18" t="s">
        <v>165</v>
      </c>
      <c r="G85" s="10" t="s">
        <v>83</v>
      </c>
      <c r="H85" s="10" t="s">
        <v>20</v>
      </c>
      <c r="I85" s="11">
        <v>5</v>
      </c>
      <c r="J85" s="11">
        <v>5</v>
      </c>
      <c r="K85" s="11"/>
      <c r="L85"/>
      <c r="M85"/>
      <c r="N85"/>
      <c r="O85"/>
      <c r="P85"/>
      <c r="Q85"/>
      <c r="R85"/>
    </row>
    <row r="86" spans="1:18" s="2" customFormat="1" ht="41.4" x14ac:dyDescent="0.3">
      <c r="A86" s="24">
        <v>74</v>
      </c>
      <c r="B86" s="12">
        <v>28</v>
      </c>
      <c r="C86" s="4" t="s">
        <v>11</v>
      </c>
      <c r="D86" s="13" t="s">
        <v>110</v>
      </c>
      <c r="E86" s="18" t="s">
        <v>166</v>
      </c>
      <c r="F86" s="18" t="s">
        <v>167</v>
      </c>
      <c r="G86" s="10" t="s">
        <v>83</v>
      </c>
      <c r="H86" s="10" t="s">
        <v>20</v>
      </c>
      <c r="I86" s="11">
        <v>4</v>
      </c>
      <c r="J86" s="11">
        <v>4</v>
      </c>
      <c r="K86" s="11"/>
      <c r="L86"/>
      <c r="M86"/>
      <c r="N86"/>
      <c r="O86"/>
      <c r="P86"/>
      <c r="Q86"/>
      <c r="R86"/>
    </row>
    <row r="87" spans="1:18" s="2" customFormat="1" ht="41.4" x14ac:dyDescent="0.3">
      <c r="A87" s="24">
        <v>75</v>
      </c>
      <c r="B87" s="12">
        <v>29</v>
      </c>
      <c r="C87" s="4" t="s">
        <v>11</v>
      </c>
      <c r="D87" s="13" t="s">
        <v>110</v>
      </c>
      <c r="E87" s="18" t="s">
        <v>168</v>
      </c>
      <c r="F87" s="18" t="s">
        <v>169</v>
      </c>
      <c r="G87" s="10" t="s">
        <v>83</v>
      </c>
      <c r="H87" s="10" t="s">
        <v>20</v>
      </c>
      <c r="I87" s="11">
        <v>4</v>
      </c>
      <c r="J87" s="11">
        <v>4</v>
      </c>
      <c r="K87" s="11"/>
      <c r="L87"/>
      <c r="M87"/>
      <c r="N87"/>
      <c r="O87"/>
      <c r="P87"/>
      <c r="Q87"/>
      <c r="R87"/>
    </row>
    <row r="88" spans="1:18" s="2" customFormat="1" ht="41.4" x14ac:dyDescent="0.3">
      <c r="A88" s="24">
        <v>76</v>
      </c>
      <c r="B88" s="12">
        <v>30</v>
      </c>
      <c r="C88" s="4" t="s">
        <v>11</v>
      </c>
      <c r="D88" s="13" t="s">
        <v>110</v>
      </c>
      <c r="E88" s="18" t="s">
        <v>170</v>
      </c>
      <c r="F88" s="18" t="s">
        <v>171</v>
      </c>
      <c r="G88" s="10" t="s">
        <v>83</v>
      </c>
      <c r="H88" s="10" t="s">
        <v>20</v>
      </c>
      <c r="I88" s="11">
        <v>4</v>
      </c>
      <c r="J88" s="11">
        <v>4</v>
      </c>
      <c r="K88" s="11"/>
      <c r="L88"/>
      <c r="M88"/>
      <c r="N88"/>
      <c r="O88"/>
      <c r="P88"/>
      <c r="Q88"/>
      <c r="R88"/>
    </row>
    <row r="89" spans="1:18" s="2" customFormat="1" ht="41.4" x14ac:dyDescent="0.3">
      <c r="A89" s="24">
        <v>77</v>
      </c>
      <c r="B89" s="12">
        <v>31</v>
      </c>
      <c r="C89" s="4" t="s">
        <v>11</v>
      </c>
      <c r="D89" s="13" t="s">
        <v>110</v>
      </c>
      <c r="E89" s="18" t="s">
        <v>172</v>
      </c>
      <c r="F89" s="18" t="s">
        <v>173</v>
      </c>
      <c r="G89" s="10" t="s">
        <v>83</v>
      </c>
      <c r="H89" s="10" t="s">
        <v>20</v>
      </c>
      <c r="I89" s="11">
        <v>4</v>
      </c>
      <c r="J89" s="11">
        <v>4</v>
      </c>
      <c r="K89" s="11"/>
      <c r="L89"/>
      <c r="M89"/>
      <c r="N89"/>
      <c r="O89"/>
      <c r="P89"/>
      <c r="Q89"/>
      <c r="R89"/>
    </row>
    <row r="90" spans="1:18" s="2" customFormat="1" ht="41.4" x14ac:dyDescent="0.3">
      <c r="A90" s="24">
        <v>78</v>
      </c>
      <c r="B90" s="12">
        <v>32</v>
      </c>
      <c r="C90" s="4" t="s">
        <v>11</v>
      </c>
      <c r="D90" s="13" t="s">
        <v>110</v>
      </c>
      <c r="E90" s="18" t="s">
        <v>174</v>
      </c>
      <c r="F90" s="18" t="s">
        <v>175</v>
      </c>
      <c r="G90" s="10" t="s">
        <v>83</v>
      </c>
      <c r="H90" s="10" t="s">
        <v>20</v>
      </c>
      <c r="I90" s="11">
        <v>4</v>
      </c>
      <c r="J90" s="11">
        <v>4</v>
      </c>
      <c r="K90" s="11"/>
      <c r="L90"/>
      <c r="M90"/>
      <c r="N90"/>
      <c r="O90"/>
      <c r="P90"/>
      <c r="Q90"/>
      <c r="R90"/>
    </row>
    <row r="91" spans="1:18" s="2" customFormat="1" ht="41.4" x14ac:dyDescent="0.3">
      <c r="A91" s="24">
        <v>79</v>
      </c>
      <c r="B91" s="12">
        <v>33</v>
      </c>
      <c r="C91" s="4" t="s">
        <v>11</v>
      </c>
      <c r="D91" s="13" t="s">
        <v>110</v>
      </c>
      <c r="E91" s="18" t="s">
        <v>176</v>
      </c>
      <c r="F91" s="18" t="s">
        <v>177</v>
      </c>
      <c r="G91" s="10" t="s">
        <v>83</v>
      </c>
      <c r="H91" s="10" t="s">
        <v>20</v>
      </c>
      <c r="I91" s="11">
        <v>3</v>
      </c>
      <c r="J91" s="11">
        <v>3</v>
      </c>
      <c r="K91" s="11"/>
      <c r="L91"/>
      <c r="M91"/>
      <c r="N91"/>
      <c r="O91"/>
      <c r="P91"/>
      <c r="Q91"/>
      <c r="R91"/>
    </row>
    <row r="92" spans="1:18" s="2" customFormat="1" ht="41.4" x14ac:dyDescent="0.3">
      <c r="A92" s="24">
        <v>80</v>
      </c>
      <c r="B92" s="12">
        <v>34</v>
      </c>
      <c r="C92" s="4" t="s">
        <v>11</v>
      </c>
      <c r="D92" s="13" t="s">
        <v>110</v>
      </c>
      <c r="E92" s="18" t="s">
        <v>178</v>
      </c>
      <c r="F92" s="18" t="s">
        <v>179</v>
      </c>
      <c r="G92" s="10" t="s">
        <v>83</v>
      </c>
      <c r="H92" s="10" t="s">
        <v>20</v>
      </c>
      <c r="I92" s="11">
        <v>3</v>
      </c>
      <c r="J92" s="11">
        <v>3</v>
      </c>
      <c r="K92" s="11"/>
      <c r="L92"/>
      <c r="M92"/>
      <c r="N92"/>
      <c r="O92"/>
      <c r="P92"/>
      <c r="Q92"/>
      <c r="R92"/>
    </row>
    <row r="93" spans="1:18" s="2" customFormat="1" ht="41.4" x14ac:dyDescent="0.3">
      <c r="A93" s="24">
        <v>81</v>
      </c>
      <c r="B93" s="12">
        <v>35</v>
      </c>
      <c r="C93" s="4" t="s">
        <v>11</v>
      </c>
      <c r="D93" s="13" t="s">
        <v>110</v>
      </c>
      <c r="E93" s="18" t="s">
        <v>180</v>
      </c>
      <c r="F93" s="18" t="s">
        <v>181</v>
      </c>
      <c r="G93" s="10" t="s">
        <v>83</v>
      </c>
      <c r="H93" s="10" t="s">
        <v>20</v>
      </c>
      <c r="I93" s="11">
        <v>2</v>
      </c>
      <c r="J93" s="11">
        <v>2</v>
      </c>
      <c r="K93" s="11"/>
      <c r="L93"/>
      <c r="M93"/>
      <c r="N93"/>
      <c r="O93"/>
      <c r="P93"/>
      <c r="Q93"/>
      <c r="R93"/>
    </row>
    <row r="94" spans="1:18" s="2" customFormat="1" ht="41.4" x14ac:dyDescent="0.3">
      <c r="A94" s="24">
        <v>82</v>
      </c>
      <c r="B94" s="12">
        <v>36</v>
      </c>
      <c r="C94" s="4" t="s">
        <v>11</v>
      </c>
      <c r="D94" s="13" t="s">
        <v>110</v>
      </c>
      <c r="E94" s="18" t="s">
        <v>182</v>
      </c>
      <c r="F94" s="18" t="s">
        <v>183</v>
      </c>
      <c r="G94" s="10" t="s">
        <v>83</v>
      </c>
      <c r="H94" s="10" t="s">
        <v>20</v>
      </c>
      <c r="I94" s="11">
        <v>2</v>
      </c>
      <c r="J94" s="11">
        <v>2</v>
      </c>
      <c r="K94" s="11"/>
      <c r="L94"/>
      <c r="M94"/>
      <c r="N94"/>
      <c r="O94"/>
      <c r="P94"/>
      <c r="Q94"/>
      <c r="R94"/>
    </row>
    <row r="95" spans="1:18" s="2" customFormat="1" ht="41.4" x14ac:dyDescent="0.3">
      <c r="A95" s="24">
        <v>83</v>
      </c>
      <c r="B95" s="12">
        <v>37</v>
      </c>
      <c r="C95" s="4" t="s">
        <v>11</v>
      </c>
      <c r="D95" s="13" t="s">
        <v>110</v>
      </c>
      <c r="E95" s="18" t="s">
        <v>184</v>
      </c>
      <c r="F95" s="18" t="s">
        <v>185</v>
      </c>
      <c r="G95" s="10" t="s">
        <v>83</v>
      </c>
      <c r="H95" s="10" t="s">
        <v>20</v>
      </c>
      <c r="I95" s="11">
        <v>2</v>
      </c>
      <c r="J95" s="11">
        <v>2</v>
      </c>
      <c r="K95" s="11"/>
      <c r="L95"/>
      <c r="M95"/>
      <c r="N95"/>
      <c r="O95"/>
      <c r="P95"/>
      <c r="Q95"/>
      <c r="R95"/>
    </row>
    <row r="96" spans="1:18" s="2" customFormat="1" ht="41.4" x14ac:dyDescent="0.3">
      <c r="A96" s="24">
        <v>84</v>
      </c>
      <c r="B96" s="12">
        <v>38</v>
      </c>
      <c r="C96" s="4" t="s">
        <v>11</v>
      </c>
      <c r="D96" s="13" t="s">
        <v>110</v>
      </c>
      <c r="E96" s="18" t="s">
        <v>186</v>
      </c>
      <c r="F96" s="18" t="s">
        <v>187</v>
      </c>
      <c r="G96" s="10" t="s">
        <v>83</v>
      </c>
      <c r="H96" s="10" t="s">
        <v>20</v>
      </c>
      <c r="I96" s="11">
        <v>1</v>
      </c>
      <c r="J96" s="11">
        <v>1</v>
      </c>
      <c r="K96" s="11"/>
      <c r="L96"/>
      <c r="M96"/>
      <c r="N96"/>
      <c r="O96"/>
      <c r="P96"/>
      <c r="Q96"/>
      <c r="R96"/>
    </row>
    <row r="97" spans="1:18" s="2" customFormat="1" ht="41.4" x14ac:dyDescent="0.3">
      <c r="A97" s="24">
        <v>85</v>
      </c>
      <c r="B97" s="3">
        <v>1</v>
      </c>
      <c r="C97" s="4" t="s">
        <v>11</v>
      </c>
      <c r="D97" s="4" t="s">
        <v>188</v>
      </c>
      <c r="E97" s="14" t="s">
        <v>189</v>
      </c>
      <c r="F97" s="14" t="s">
        <v>190</v>
      </c>
      <c r="G97" s="6" t="s">
        <v>15</v>
      </c>
      <c r="H97" s="6" t="s">
        <v>16</v>
      </c>
      <c r="I97" s="8" t="s">
        <v>17</v>
      </c>
      <c r="J97" s="8" t="s">
        <v>17</v>
      </c>
      <c r="K97" s="8"/>
      <c r="L97"/>
      <c r="M97"/>
      <c r="N97"/>
      <c r="O97"/>
      <c r="P97"/>
      <c r="Q97"/>
      <c r="R97"/>
    </row>
    <row r="98" spans="1:18" s="2" customFormat="1" ht="41.4" x14ac:dyDescent="0.3">
      <c r="A98" s="24">
        <v>86</v>
      </c>
      <c r="B98" s="3">
        <v>2</v>
      </c>
      <c r="C98" s="4" t="s">
        <v>11</v>
      </c>
      <c r="D98" s="4" t="s">
        <v>188</v>
      </c>
      <c r="E98" s="14" t="s">
        <v>191</v>
      </c>
      <c r="F98" s="14" t="s">
        <v>192</v>
      </c>
      <c r="G98" s="6" t="s">
        <v>15</v>
      </c>
      <c r="H98" s="6" t="s">
        <v>16</v>
      </c>
      <c r="I98" s="8" t="s">
        <v>17</v>
      </c>
      <c r="J98" s="8" t="s">
        <v>17</v>
      </c>
      <c r="K98" s="8"/>
      <c r="L98"/>
      <c r="M98"/>
      <c r="N98"/>
      <c r="O98"/>
      <c r="P98"/>
      <c r="Q98"/>
      <c r="R98"/>
    </row>
    <row r="99" spans="1:18" s="2" customFormat="1" ht="41.4" x14ac:dyDescent="0.3">
      <c r="A99" s="24">
        <v>87</v>
      </c>
      <c r="B99" s="3">
        <v>3</v>
      </c>
      <c r="C99" s="4" t="s">
        <v>11</v>
      </c>
      <c r="D99" s="4" t="s">
        <v>188</v>
      </c>
      <c r="E99" s="14" t="s">
        <v>193</v>
      </c>
      <c r="F99" s="14" t="s">
        <v>194</v>
      </c>
      <c r="G99" s="6" t="s">
        <v>15</v>
      </c>
      <c r="H99" s="6" t="s">
        <v>16</v>
      </c>
      <c r="I99" s="8" t="s">
        <v>17</v>
      </c>
      <c r="J99" s="8" t="s">
        <v>17</v>
      </c>
      <c r="K99" s="8"/>
      <c r="L99"/>
      <c r="M99"/>
      <c r="N99"/>
      <c r="O99"/>
      <c r="P99"/>
      <c r="Q99"/>
      <c r="R99"/>
    </row>
    <row r="100" spans="1:18" s="2" customFormat="1" ht="41.4" x14ac:dyDescent="0.3">
      <c r="A100" s="24">
        <v>88</v>
      </c>
      <c r="B100" s="3">
        <v>4</v>
      </c>
      <c r="C100" s="4" t="s">
        <v>11</v>
      </c>
      <c r="D100" s="4" t="s">
        <v>188</v>
      </c>
      <c r="E100" s="14" t="s">
        <v>195</v>
      </c>
      <c r="F100" s="14" t="s">
        <v>196</v>
      </c>
      <c r="G100" s="6" t="s">
        <v>15</v>
      </c>
      <c r="H100" s="6" t="s">
        <v>16</v>
      </c>
      <c r="I100" s="8" t="s">
        <v>17</v>
      </c>
      <c r="J100" s="8" t="s">
        <v>17</v>
      </c>
      <c r="K100" s="8"/>
      <c r="L100"/>
      <c r="M100"/>
      <c r="N100"/>
      <c r="O100"/>
      <c r="P100"/>
      <c r="Q100"/>
      <c r="R100"/>
    </row>
    <row r="101" spans="1:18" s="2" customFormat="1" ht="41.4" x14ac:dyDescent="0.3">
      <c r="A101" s="24">
        <v>89</v>
      </c>
      <c r="B101" s="3">
        <v>5</v>
      </c>
      <c r="C101" s="4" t="s">
        <v>11</v>
      </c>
      <c r="D101" s="4" t="s">
        <v>188</v>
      </c>
      <c r="E101" s="15" t="s">
        <v>197</v>
      </c>
      <c r="F101" s="15" t="s">
        <v>198</v>
      </c>
      <c r="G101" s="16" t="s">
        <v>127</v>
      </c>
      <c r="H101" s="16" t="s">
        <v>16</v>
      </c>
      <c r="I101" s="17" t="s">
        <v>17</v>
      </c>
      <c r="J101" s="17" t="s">
        <v>17</v>
      </c>
      <c r="K101" s="17"/>
      <c r="L101"/>
      <c r="M101"/>
      <c r="N101"/>
      <c r="O101"/>
      <c r="P101"/>
      <c r="Q101"/>
      <c r="R101"/>
    </row>
    <row r="102" spans="1:18" s="2" customFormat="1" ht="41.4" x14ac:dyDescent="0.3">
      <c r="A102" s="24">
        <v>90</v>
      </c>
      <c r="B102" s="3">
        <v>6</v>
      </c>
      <c r="C102" s="4" t="s">
        <v>11</v>
      </c>
      <c r="D102" s="4" t="s">
        <v>188</v>
      </c>
      <c r="E102" s="14" t="s">
        <v>199</v>
      </c>
      <c r="F102" s="14" t="s">
        <v>200</v>
      </c>
      <c r="G102" s="6" t="s">
        <v>15</v>
      </c>
      <c r="H102" s="6" t="s">
        <v>20</v>
      </c>
      <c r="I102" s="8">
        <v>6</v>
      </c>
      <c r="J102" s="8">
        <v>6</v>
      </c>
      <c r="K102" s="8"/>
      <c r="L102"/>
      <c r="M102"/>
      <c r="N102"/>
      <c r="O102"/>
      <c r="P102"/>
      <c r="Q102"/>
      <c r="R102"/>
    </row>
    <row r="103" spans="1:18" s="2" customFormat="1" ht="41.4" x14ac:dyDescent="0.3">
      <c r="A103" s="24">
        <v>91</v>
      </c>
      <c r="B103" s="3">
        <v>7</v>
      </c>
      <c r="C103" s="4" t="s">
        <v>11</v>
      </c>
      <c r="D103" s="4" t="s">
        <v>188</v>
      </c>
      <c r="E103" s="14" t="s">
        <v>201</v>
      </c>
      <c r="F103" s="14" t="s">
        <v>202</v>
      </c>
      <c r="G103" s="6" t="s">
        <v>15</v>
      </c>
      <c r="H103" s="6" t="s">
        <v>20</v>
      </c>
      <c r="I103" s="8">
        <v>3</v>
      </c>
      <c r="J103" s="8">
        <v>3</v>
      </c>
      <c r="K103" s="8"/>
      <c r="L103"/>
      <c r="M103"/>
      <c r="N103"/>
      <c r="O103"/>
      <c r="P103"/>
      <c r="Q103"/>
      <c r="R103"/>
    </row>
    <row r="104" spans="1:18" s="2" customFormat="1" ht="41.4" x14ac:dyDescent="0.3">
      <c r="A104" s="24">
        <v>92</v>
      </c>
      <c r="B104" s="3">
        <v>8</v>
      </c>
      <c r="C104" s="4" t="s">
        <v>11</v>
      </c>
      <c r="D104" s="4" t="s">
        <v>188</v>
      </c>
      <c r="E104" s="14" t="s">
        <v>203</v>
      </c>
      <c r="F104" s="14" t="s">
        <v>204</v>
      </c>
      <c r="G104" s="6" t="s">
        <v>15</v>
      </c>
      <c r="H104" s="6" t="s">
        <v>20</v>
      </c>
      <c r="I104" s="8">
        <v>2</v>
      </c>
      <c r="J104" s="8">
        <v>2</v>
      </c>
      <c r="K104" s="8"/>
      <c r="L104"/>
      <c r="M104"/>
      <c r="N104"/>
      <c r="O104"/>
      <c r="P104"/>
      <c r="Q104"/>
      <c r="R104"/>
    </row>
    <row r="105" spans="1:18" s="2" customFormat="1" ht="41.4" x14ac:dyDescent="0.3">
      <c r="A105" s="24">
        <v>93</v>
      </c>
      <c r="B105" s="3">
        <v>9</v>
      </c>
      <c r="C105" s="4" t="s">
        <v>11</v>
      </c>
      <c r="D105" s="4" t="s">
        <v>188</v>
      </c>
      <c r="E105" s="15" t="s">
        <v>205</v>
      </c>
      <c r="F105" s="15" t="s">
        <v>206</v>
      </c>
      <c r="G105" s="16" t="s">
        <v>127</v>
      </c>
      <c r="H105" s="16" t="s">
        <v>20</v>
      </c>
      <c r="I105" s="17">
        <v>5</v>
      </c>
      <c r="J105" s="17">
        <v>5</v>
      </c>
      <c r="K105" s="17"/>
      <c r="L105"/>
      <c r="M105"/>
      <c r="N105"/>
      <c r="O105"/>
      <c r="P105"/>
      <c r="Q105"/>
      <c r="R105"/>
    </row>
    <row r="106" spans="1:18" s="2" customFormat="1" ht="41.4" x14ac:dyDescent="0.3">
      <c r="A106" s="24">
        <v>94</v>
      </c>
      <c r="B106" s="3">
        <v>10</v>
      </c>
      <c r="C106" s="4" t="s">
        <v>11</v>
      </c>
      <c r="D106" s="4" t="s">
        <v>188</v>
      </c>
      <c r="E106" s="15" t="s">
        <v>207</v>
      </c>
      <c r="F106" s="15" t="s">
        <v>208</v>
      </c>
      <c r="G106" s="16" t="s">
        <v>127</v>
      </c>
      <c r="H106" s="16" t="s">
        <v>20</v>
      </c>
      <c r="I106" s="17">
        <v>3</v>
      </c>
      <c r="J106" s="17">
        <v>3</v>
      </c>
      <c r="K106" s="17"/>
      <c r="L106"/>
      <c r="M106"/>
      <c r="N106"/>
      <c r="O106"/>
      <c r="P106"/>
      <c r="Q106"/>
      <c r="R106"/>
    </row>
    <row r="107" spans="1:18" s="2" customFormat="1" ht="41.4" x14ac:dyDescent="0.3">
      <c r="A107" s="24">
        <v>95</v>
      </c>
      <c r="B107" s="3">
        <v>11</v>
      </c>
      <c r="C107" s="4" t="s">
        <v>11</v>
      </c>
      <c r="D107" s="4" t="s">
        <v>188</v>
      </c>
      <c r="E107" s="15" t="s">
        <v>209</v>
      </c>
      <c r="F107" s="15" t="s">
        <v>210</v>
      </c>
      <c r="G107" s="16" t="s">
        <v>127</v>
      </c>
      <c r="H107" s="16" t="s">
        <v>20</v>
      </c>
      <c r="I107" s="17">
        <v>3</v>
      </c>
      <c r="J107" s="17">
        <v>3</v>
      </c>
      <c r="K107" s="17"/>
      <c r="L107"/>
      <c r="M107"/>
      <c r="N107"/>
      <c r="O107"/>
      <c r="P107"/>
      <c r="Q107"/>
      <c r="R107"/>
    </row>
    <row r="108" spans="1:18" s="2" customFormat="1" ht="41.4" x14ac:dyDescent="0.3">
      <c r="A108" s="24">
        <v>96</v>
      </c>
      <c r="B108" s="3">
        <v>12</v>
      </c>
      <c r="C108" s="4" t="s">
        <v>11</v>
      </c>
      <c r="D108" s="4" t="s">
        <v>188</v>
      </c>
      <c r="E108" s="15" t="s">
        <v>211</v>
      </c>
      <c r="F108" s="15" t="s">
        <v>212</v>
      </c>
      <c r="G108" s="16" t="s">
        <v>127</v>
      </c>
      <c r="H108" s="16" t="s">
        <v>20</v>
      </c>
      <c r="I108" s="17">
        <v>3</v>
      </c>
      <c r="J108" s="17">
        <v>3</v>
      </c>
      <c r="K108" s="17"/>
      <c r="L108"/>
      <c r="M108"/>
      <c r="N108"/>
      <c r="O108"/>
      <c r="P108"/>
      <c r="Q108"/>
      <c r="R108"/>
    </row>
    <row r="109" spans="1:18" s="2" customFormat="1" ht="41.4" x14ac:dyDescent="0.3">
      <c r="A109" s="24">
        <v>97</v>
      </c>
      <c r="B109" s="3">
        <v>13</v>
      </c>
      <c r="C109" s="4" t="s">
        <v>11</v>
      </c>
      <c r="D109" s="4" t="s">
        <v>188</v>
      </c>
      <c r="E109" s="18" t="s">
        <v>213</v>
      </c>
      <c r="F109" s="18" t="s">
        <v>214</v>
      </c>
      <c r="G109" s="10" t="s">
        <v>83</v>
      </c>
      <c r="H109" s="10" t="s">
        <v>20</v>
      </c>
      <c r="I109" s="11">
        <v>5</v>
      </c>
      <c r="J109" s="11">
        <v>5</v>
      </c>
      <c r="K109" s="11"/>
      <c r="L109"/>
      <c r="M109"/>
      <c r="N109"/>
      <c r="O109"/>
      <c r="P109"/>
      <c r="Q109"/>
      <c r="R109"/>
    </row>
    <row r="110" spans="1:18" s="2" customFormat="1" ht="41.4" x14ac:dyDescent="0.3">
      <c r="A110" s="24">
        <v>98</v>
      </c>
      <c r="B110" s="3">
        <v>14</v>
      </c>
      <c r="C110" s="4" t="s">
        <v>11</v>
      </c>
      <c r="D110" s="4" t="s">
        <v>188</v>
      </c>
      <c r="E110" s="18" t="s">
        <v>215</v>
      </c>
      <c r="F110" s="18" t="s">
        <v>216</v>
      </c>
      <c r="G110" s="10" t="s">
        <v>83</v>
      </c>
      <c r="H110" s="10" t="s">
        <v>20</v>
      </c>
      <c r="I110" s="11">
        <v>5</v>
      </c>
      <c r="J110" s="11">
        <v>5</v>
      </c>
      <c r="K110" s="11"/>
      <c r="L110"/>
      <c r="M110"/>
      <c r="N110"/>
      <c r="O110"/>
      <c r="P110"/>
      <c r="Q110"/>
      <c r="R110"/>
    </row>
    <row r="111" spans="1:18" s="2" customFormat="1" ht="41.4" x14ac:dyDescent="0.3">
      <c r="A111" s="24">
        <v>99</v>
      </c>
      <c r="B111" s="3">
        <v>15</v>
      </c>
      <c r="C111" s="4" t="s">
        <v>11</v>
      </c>
      <c r="D111" s="4" t="s">
        <v>188</v>
      </c>
      <c r="E111" s="18" t="s">
        <v>217</v>
      </c>
      <c r="F111" s="18" t="s">
        <v>218</v>
      </c>
      <c r="G111" s="10" t="s">
        <v>83</v>
      </c>
      <c r="H111" s="10" t="s">
        <v>20</v>
      </c>
      <c r="I111" s="11">
        <v>5</v>
      </c>
      <c r="J111" s="11">
        <v>5</v>
      </c>
      <c r="K111" s="11"/>
      <c r="L111"/>
      <c r="M111"/>
      <c r="N111"/>
      <c r="O111"/>
      <c r="P111"/>
      <c r="Q111"/>
      <c r="R111"/>
    </row>
    <row r="112" spans="1:18" s="2" customFormat="1" ht="41.4" x14ac:dyDescent="0.3">
      <c r="A112" s="24">
        <v>100</v>
      </c>
      <c r="B112" s="3">
        <v>16</v>
      </c>
      <c r="C112" s="4" t="s">
        <v>11</v>
      </c>
      <c r="D112" s="4" t="s">
        <v>188</v>
      </c>
      <c r="E112" s="18" t="s">
        <v>219</v>
      </c>
      <c r="F112" s="18" t="s">
        <v>220</v>
      </c>
      <c r="G112" s="10" t="s">
        <v>83</v>
      </c>
      <c r="H112" s="10" t="s">
        <v>20</v>
      </c>
      <c r="I112" s="11">
        <v>5</v>
      </c>
      <c r="J112" s="11">
        <v>5</v>
      </c>
      <c r="K112" s="11"/>
      <c r="L112"/>
      <c r="M112"/>
      <c r="N112"/>
      <c r="O112"/>
      <c r="P112"/>
      <c r="Q112"/>
      <c r="R112"/>
    </row>
    <row r="113" spans="1:18" s="2" customFormat="1" ht="41.4" x14ac:dyDescent="0.3">
      <c r="A113" s="24">
        <v>101</v>
      </c>
      <c r="B113" s="3">
        <v>17</v>
      </c>
      <c r="C113" s="4" t="s">
        <v>11</v>
      </c>
      <c r="D113" s="4" t="s">
        <v>188</v>
      </c>
      <c r="E113" s="18" t="s">
        <v>221</v>
      </c>
      <c r="F113" s="18" t="s">
        <v>222</v>
      </c>
      <c r="G113" s="10" t="s">
        <v>83</v>
      </c>
      <c r="H113" s="10" t="s">
        <v>20</v>
      </c>
      <c r="I113" s="11">
        <v>5</v>
      </c>
      <c r="J113" s="11">
        <v>5</v>
      </c>
      <c r="K113" s="11"/>
      <c r="L113"/>
      <c r="M113"/>
      <c r="N113"/>
      <c r="O113"/>
      <c r="P113"/>
      <c r="Q113"/>
      <c r="R113"/>
    </row>
    <row r="114" spans="1:18" s="2" customFormat="1" ht="41.4" x14ac:dyDescent="0.3">
      <c r="A114" s="24">
        <v>102</v>
      </c>
      <c r="B114" s="3">
        <v>18</v>
      </c>
      <c r="C114" s="4" t="s">
        <v>11</v>
      </c>
      <c r="D114" s="4" t="s">
        <v>188</v>
      </c>
      <c r="E114" s="18" t="s">
        <v>223</v>
      </c>
      <c r="F114" s="18" t="s">
        <v>224</v>
      </c>
      <c r="G114" s="10" t="s">
        <v>83</v>
      </c>
      <c r="H114" s="10" t="s">
        <v>20</v>
      </c>
      <c r="I114" s="11">
        <v>4</v>
      </c>
      <c r="J114" s="11">
        <v>4</v>
      </c>
      <c r="K114" s="11"/>
      <c r="L114"/>
      <c r="M114"/>
      <c r="N114"/>
      <c r="O114"/>
      <c r="P114"/>
      <c r="Q114"/>
      <c r="R114"/>
    </row>
    <row r="115" spans="1:18" s="2" customFormat="1" ht="41.4" x14ac:dyDescent="0.3">
      <c r="A115" s="24">
        <v>103</v>
      </c>
      <c r="B115" s="3">
        <v>19</v>
      </c>
      <c r="C115" s="4" t="s">
        <v>11</v>
      </c>
      <c r="D115" s="4" t="s">
        <v>188</v>
      </c>
      <c r="E115" s="18" t="s">
        <v>225</v>
      </c>
      <c r="F115" s="18" t="s">
        <v>226</v>
      </c>
      <c r="G115" s="10" t="s">
        <v>83</v>
      </c>
      <c r="H115" s="10" t="s">
        <v>20</v>
      </c>
      <c r="I115" s="11">
        <v>4</v>
      </c>
      <c r="J115" s="11">
        <v>4</v>
      </c>
      <c r="K115" s="11"/>
      <c r="L115"/>
      <c r="M115"/>
      <c r="N115"/>
      <c r="O115"/>
      <c r="P115"/>
      <c r="Q115"/>
      <c r="R115"/>
    </row>
    <row r="116" spans="1:18" s="2" customFormat="1" ht="41.4" x14ac:dyDescent="0.3">
      <c r="A116" s="24">
        <v>104</v>
      </c>
      <c r="B116" s="3">
        <v>20</v>
      </c>
      <c r="C116" s="4" t="s">
        <v>11</v>
      </c>
      <c r="D116" s="4" t="s">
        <v>188</v>
      </c>
      <c r="E116" s="18" t="s">
        <v>227</v>
      </c>
      <c r="F116" s="18" t="s">
        <v>228</v>
      </c>
      <c r="G116" s="10" t="s">
        <v>83</v>
      </c>
      <c r="H116" s="10" t="s">
        <v>20</v>
      </c>
      <c r="I116" s="11">
        <v>4</v>
      </c>
      <c r="J116" s="11">
        <v>4</v>
      </c>
      <c r="K116" s="11"/>
      <c r="L116"/>
      <c r="M116"/>
      <c r="N116"/>
      <c r="O116"/>
      <c r="P116"/>
      <c r="Q116"/>
      <c r="R116"/>
    </row>
    <row r="117" spans="1:18" s="2" customFormat="1" ht="41.4" x14ac:dyDescent="0.3">
      <c r="A117" s="24">
        <v>105</v>
      </c>
      <c r="B117" s="3">
        <v>21</v>
      </c>
      <c r="C117" s="4" t="s">
        <v>11</v>
      </c>
      <c r="D117" s="4" t="s">
        <v>188</v>
      </c>
      <c r="E117" s="18" t="s">
        <v>229</v>
      </c>
      <c r="F117" s="18" t="s">
        <v>230</v>
      </c>
      <c r="G117" s="10" t="s">
        <v>83</v>
      </c>
      <c r="H117" s="10" t="s">
        <v>20</v>
      </c>
      <c r="I117" s="11">
        <v>4</v>
      </c>
      <c r="J117" s="11">
        <v>4</v>
      </c>
      <c r="K117" s="11"/>
      <c r="L117"/>
      <c r="M117"/>
      <c r="N117"/>
      <c r="O117"/>
      <c r="P117"/>
      <c r="Q117"/>
      <c r="R117"/>
    </row>
    <row r="118" spans="1:18" s="2" customFormat="1" ht="41.4" x14ac:dyDescent="0.3">
      <c r="A118" s="24">
        <v>106</v>
      </c>
      <c r="B118" s="3">
        <v>22</v>
      </c>
      <c r="C118" s="4" t="s">
        <v>11</v>
      </c>
      <c r="D118" s="4" t="s">
        <v>188</v>
      </c>
      <c r="E118" s="18" t="s">
        <v>231</v>
      </c>
      <c r="F118" s="18" t="s">
        <v>232</v>
      </c>
      <c r="G118" s="10" t="s">
        <v>83</v>
      </c>
      <c r="H118" s="10" t="s">
        <v>20</v>
      </c>
      <c r="I118" s="11">
        <v>4</v>
      </c>
      <c r="J118" s="11">
        <v>4</v>
      </c>
      <c r="K118" s="11"/>
      <c r="L118"/>
      <c r="M118"/>
      <c r="N118"/>
      <c r="O118"/>
      <c r="P118"/>
      <c r="Q118"/>
      <c r="R118"/>
    </row>
    <row r="119" spans="1:18" s="2" customFormat="1" ht="41.4" x14ac:dyDescent="0.3">
      <c r="A119" s="24">
        <v>107</v>
      </c>
      <c r="B119" s="3">
        <v>23</v>
      </c>
      <c r="C119" s="4" t="s">
        <v>11</v>
      </c>
      <c r="D119" s="4" t="s">
        <v>188</v>
      </c>
      <c r="E119" s="18" t="s">
        <v>233</v>
      </c>
      <c r="F119" s="18" t="s">
        <v>234</v>
      </c>
      <c r="G119" s="10" t="s">
        <v>83</v>
      </c>
      <c r="H119" s="10" t="s">
        <v>20</v>
      </c>
      <c r="I119" s="11">
        <v>4</v>
      </c>
      <c r="J119" s="11">
        <v>4</v>
      </c>
      <c r="K119" s="11"/>
      <c r="L119"/>
      <c r="M119"/>
      <c r="N119"/>
      <c r="O119"/>
      <c r="P119"/>
      <c r="Q119"/>
      <c r="R119"/>
    </row>
    <row r="120" spans="1:18" s="2" customFormat="1" ht="41.4" x14ac:dyDescent="0.3">
      <c r="A120" s="24">
        <v>108</v>
      </c>
      <c r="B120" s="3">
        <v>24</v>
      </c>
      <c r="C120" s="4" t="s">
        <v>11</v>
      </c>
      <c r="D120" s="4" t="s">
        <v>188</v>
      </c>
      <c r="E120" s="18" t="s">
        <v>235</v>
      </c>
      <c r="F120" s="18" t="s">
        <v>236</v>
      </c>
      <c r="G120" s="10" t="s">
        <v>83</v>
      </c>
      <c r="H120" s="10" t="s">
        <v>20</v>
      </c>
      <c r="I120" s="11">
        <v>4</v>
      </c>
      <c r="J120" s="11">
        <v>4</v>
      </c>
      <c r="K120" s="11"/>
      <c r="L120"/>
      <c r="M120"/>
      <c r="N120"/>
      <c r="O120"/>
      <c r="P120"/>
      <c r="Q120"/>
      <c r="R120"/>
    </row>
    <row r="121" spans="1:18" s="2" customFormat="1" ht="41.4" x14ac:dyDescent="0.3">
      <c r="A121" s="24">
        <v>109</v>
      </c>
      <c r="B121" s="3">
        <v>25</v>
      </c>
      <c r="C121" s="4" t="s">
        <v>11</v>
      </c>
      <c r="D121" s="4" t="s">
        <v>188</v>
      </c>
      <c r="E121" s="18" t="s">
        <v>237</v>
      </c>
      <c r="F121" s="18" t="s">
        <v>238</v>
      </c>
      <c r="G121" s="10" t="s">
        <v>83</v>
      </c>
      <c r="H121" s="10" t="s">
        <v>20</v>
      </c>
      <c r="I121" s="11">
        <v>3</v>
      </c>
      <c r="J121" s="11">
        <v>3</v>
      </c>
      <c r="K121" s="11"/>
      <c r="L121"/>
      <c r="M121"/>
      <c r="N121"/>
      <c r="O121"/>
      <c r="P121"/>
      <c r="Q121"/>
      <c r="R121"/>
    </row>
    <row r="122" spans="1:18" s="2" customFormat="1" ht="41.4" x14ac:dyDescent="0.3">
      <c r="A122" s="24">
        <v>110</v>
      </c>
      <c r="B122" s="3">
        <v>26</v>
      </c>
      <c r="C122" s="4" t="s">
        <v>11</v>
      </c>
      <c r="D122" s="4" t="s">
        <v>188</v>
      </c>
      <c r="E122" s="18" t="s">
        <v>239</v>
      </c>
      <c r="F122" s="18" t="s">
        <v>240</v>
      </c>
      <c r="G122" s="10" t="s">
        <v>83</v>
      </c>
      <c r="H122" s="10" t="s">
        <v>20</v>
      </c>
      <c r="I122" s="11">
        <v>3</v>
      </c>
      <c r="J122" s="11">
        <v>3</v>
      </c>
      <c r="K122" s="11"/>
      <c r="L122"/>
      <c r="M122"/>
      <c r="N122"/>
      <c r="O122"/>
      <c r="P122"/>
      <c r="Q122"/>
      <c r="R122"/>
    </row>
    <row r="123" spans="1:18" s="2" customFormat="1" ht="41.4" x14ac:dyDescent="0.3">
      <c r="A123" s="24">
        <v>111</v>
      </c>
      <c r="B123" s="3">
        <v>27</v>
      </c>
      <c r="C123" s="4" t="s">
        <v>11</v>
      </c>
      <c r="D123" s="4" t="s">
        <v>188</v>
      </c>
      <c r="E123" s="18" t="s">
        <v>241</v>
      </c>
      <c r="F123" s="18" t="s">
        <v>242</v>
      </c>
      <c r="G123" s="10" t="s">
        <v>83</v>
      </c>
      <c r="H123" s="10" t="s">
        <v>20</v>
      </c>
      <c r="I123" s="11">
        <v>3</v>
      </c>
      <c r="J123" s="11">
        <v>3</v>
      </c>
      <c r="K123" s="11"/>
      <c r="L123"/>
      <c r="M123"/>
      <c r="N123"/>
      <c r="O123"/>
      <c r="P123"/>
      <c r="Q123"/>
      <c r="R123"/>
    </row>
    <row r="124" spans="1:18" s="2" customFormat="1" ht="41.4" x14ac:dyDescent="0.3">
      <c r="A124" s="24">
        <v>112</v>
      </c>
      <c r="B124" s="3">
        <v>28</v>
      </c>
      <c r="C124" s="4" t="s">
        <v>11</v>
      </c>
      <c r="D124" s="4" t="s">
        <v>188</v>
      </c>
      <c r="E124" s="18" t="s">
        <v>243</v>
      </c>
      <c r="F124" s="18" t="s">
        <v>244</v>
      </c>
      <c r="G124" s="10" t="s">
        <v>83</v>
      </c>
      <c r="H124" s="10" t="s">
        <v>20</v>
      </c>
      <c r="I124" s="11">
        <v>3</v>
      </c>
      <c r="J124" s="11">
        <v>3</v>
      </c>
      <c r="K124" s="11"/>
      <c r="L124"/>
      <c r="M124"/>
      <c r="N124"/>
      <c r="O124"/>
      <c r="P124"/>
      <c r="Q124"/>
      <c r="R124"/>
    </row>
    <row r="125" spans="1:18" s="2" customFormat="1" ht="41.4" x14ac:dyDescent="0.3">
      <c r="A125" s="24">
        <v>113</v>
      </c>
      <c r="B125" s="3">
        <v>29</v>
      </c>
      <c r="C125" s="4" t="s">
        <v>11</v>
      </c>
      <c r="D125" s="4" t="s">
        <v>188</v>
      </c>
      <c r="E125" s="18" t="s">
        <v>245</v>
      </c>
      <c r="F125" s="18" t="s">
        <v>246</v>
      </c>
      <c r="G125" s="10" t="s">
        <v>83</v>
      </c>
      <c r="H125" s="10" t="s">
        <v>20</v>
      </c>
      <c r="I125" s="11">
        <v>2</v>
      </c>
      <c r="J125" s="11">
        <v>2</v>
      </c>
      <c r="K125" s="11"/>
      <c r="L125"/>
      <c r="M125"/>
      <c r="N125"/>
      <c r="O125"/>
      <c r="P125"/>
      <c r="Q125"/>
      <c r="R125"/>
    </row>
    <row r="126" spans="1:18" s="2" customFormat="1" ht="30.6" x14ac:dyDescent="0.3">
      <c r="A126" s="24">
        <v>114</v>
      </c>
      <c r="B126" s="3">
        <v>30</v>
      </c>
      <c r="C126" s="4" t="s">
        <v>11</v>
      </c>
      <c r="D126" s="4" t="s">
        <v>188</v>
      </c>
      <c r="E126" s="18" t="s">
        <v>247</v>
      </c>
      <c r="F126" s="18" t="s">
        <v>248</v>
      </c>
      <c r="G126" s="10" t="s">
        <v>83</v>
      </c>
      <c r="H126" s="10" t="s">
        <v>20</v>
      </c>
      <c r="I126" s="11">
        <v>2</v>
      </c>
      <c r="J126" s="11">
        <v>2</v>
      </c>
      <c r="K126" s="11"/>
      <c r="L126"/>
      <c r="M126"/>
      <c r="N126"/>
      <c r="O126"/>
      <c r="P126"/>
      <c r="Q126"/>
      <c r="R126"/>
    </row>
    <row r="127" spans="1:18" s="2" customFormat="1" ht="41.4" x14ac:dyDescent="0.3">
      <c r="A127" s="24">
        <v>115</v>
      </c>
      <c r="B127" s="3">
        <v>31</v>
      </c>
      <c r="C127" s="4" t="s">
        <v>11</v>
      </c>
      <c r="D127" s="4" t="s">
        <v>188</v>
      </c>
      <c r="E127" s="18" t="s">
        <v>249</v>
      </c>
      <c r="F127" s="18" t="s">
        <v>250</v>
      </c>
      <c r="G127" s="10" t="s">
        <v>83</v>
      </c>
      <c r="H127" s="10" t="s">
        <v>20</v>
      </c>
      <c r="I127" s="11">
        <v>2</v>
      </c>
      <c r="J127" s="11">
        <v>2</v>
      </c>
      <c r="K127" s="11"/>
      <c r="L127"/>
      <c r="M127"/>
      <c r="N127"/>
      <c r="O127"/>
      <c r="P127"/>
      <c r="Q127"/>
      <c r="R127"/>
    </row>
    <row r="128" spans="1:18" s="2" customFormat="1" ht="41.4" x14ac:dyDescent="0.3">
      <c r="A128" s="24">
        <v>116</v>
      </c>
      <c r="B128" s="12">
        <v>1</v>
      </c>
      <c r="C128" s="4" t="s">
        <v>11</v>
      </c>
      <c r="D128" s="4" t="s">
        <v>251</v>
      </c>
      <c r="E128" s="14" t="s">
        <v>252</v>
      </c>
      <c r="F128" s="14" t="s">
        <v>253</v>
      </c>
      <c r="G128" s="6" t="s">
        <v>15</v>
      </c>
      <c r="H128" s="6" t="s">
        <v>16</v>
      </c>
      <c r="I128" s="8" t="s">
        <v>17</v>
      </c>
      <c r="J128" s="8" t="s">
        <v>17</v>
      </c>
      <c r="K128" s="8"/>
      <c r="L128"/>
      <c r="M128"/>
      <c r="N128"/>
      <c r="O128"/>
      <c r="P128"/>
      <c r="Q128"/>
      <c r="R128"/>
    </row>
    <row r="129" spans="1:18" s="2" customFormat="1" ht="41.4" x14ac:dyDescent="0.3">
      <c r="A129" s="24">
        <v>117</v>
      </c>
      <c r="B129" s="12">
        <v>2</v>
      </c>
      <c r="C129" s="4" t="s">
        <v>11</v>
      </c>
      <c r="D129" s="4" t="s">
        <v>251</v>
      </c>
      <c r="E129" s="14" t="s">
        <v>254</v>
      </c>
      <c r="F129" s="14" t="s">
        <v>255</v>
      </c>
      <c r="G129" s="6" t="s">
        <v>15</v>
      </c>
      <c r="H129" s="6" t="s">
        <v>16</v>
      </c>
      <c r="I129" s="8" t="s">
        <v>17</v>
      </c>
      <c r="J129" s="8" t="s">
        <v>17</v>
      </c>
      <c r="K129" s="8"/>
      <c r="L129"/>
      <c r="M129"/>
      <c r="N129"/>
      <c r="O129"/>
      <c r="P129"/>
      <c r="Q129"/>
      <c r="R129"/>
    </row>
    <row r="130" spans="1:18" s="2" customFormat="1" ht="41.4" x14ac:dyDescent="0.3">
      <c r="A130" s="24">
        <v>118</v>
      </c>
      <c r="B130" s="12">
        <v>3</v>
      </c>
      <c r="C130" s="4" t="s">
        <v>11</v>
      </c>
      <c r="D130" s="4" t="s">
        <v>251</v>
      </c>
      <c r="E130" s="14" t="s">
        <v>256</v>
      </c>
      <c r="F130" s="14" t="s">
        <v>257</v>
      </c>
      <c r="G130" s="6" t="s">
        <v>15</v>
      </c>
      <c r="H130" s="6" t="s">
        <v>16</v>
      </c>
      <c r="I130" s="8" t="s">
        <v>17</v>
      </c>
      <c r="J130" s="8" t="s">
        <v>17</v>
      </c>
      <c r="K130" s="8"/>
      <c r="L130"/>
      <c r="M130"/>
      <c r="N130"/>
      <c r="O130"/>
      <c r="P130"/>
      <c r="Q130"/>
      <c r="R130"/>
    </row>
    <row r="131" spans="1:18" s="2" customFormat="1" ht="41.4" x14ac:dyDescent="0.3">
      <c r="A131" s="24">
        <v>119</v>
      </c>
      <c r="B131" s="12">
        <v>4</v>
      </c>
      <c r="C131" s="4" t="s">
        <v>11</v>
      </c>
      <c r="D131" s="4" t="s">
        <v>251</v>
      </c>
      <c r="E131" s="14" t="s">
        <v>258</v>
      </c>
      <c r="F131" s="14" t="s">
        <v>259</v>
      </c>
      <c r="G131" s="6" t="s">
        <v>15</v>
      </c>
      <c r="H131" s="6" t="s">
        <v>16</v>
      </c>
      <c r="I131" s="8" t="s">
        <v>17</v>
      </c>
      <c r="J131" s="8" t="s">
        <v>17</v>
      </c>
      <c r="K131" s="8"/>
      <c r="L131"/>
      <c r="M131"/>
      <c r="N131"/>
      <c r="O131"/>
      <c r="P131"/>
      <c r="Q131"/>
      <c r="R131"/>
    </row>
    <row r="132" spans="1:18" s="2" customFormat="1" ht="41.4" x14ac:dyDescent="0.3">
      <c r="A132" s="24">
        <v>120</v>
      </c>
      <c r="B132" s="12">
        <v>5</v>
      </c>
      <c r="C132" s="4" t="s">
        <v>11</v>
      </c>
      <c r="D132" s="4" t="s">
        <v>251</v>
      </c>
      <c r="E132" s="14" t="s">
        <v>260</v>
      </c>
      <c r="F132" s="14" t="s">
        <v>261</v>
      </c>
      <c r="G132" s="6" t="s">
        <v>15</v>
      </c>
      <c r="H132" s="6" t="s">
        <v>16</v>
      </c>
      <c r="I132" s="8" t="s">
        <v>17</v>
      </c>
      <c r="J132" s="8" t="s">
        <v>17</v>
      </c>
      <c r="K132" s="8"/>
      <c r="L132"/>
      <c r="M132"/>
      <c r="N132"/>
      <c r="O132"/>
      <c r="P132"/>
      <c r="Q132"/>
      <c r="R132"/>
    </row>
    <row r="133" spans="1:18" s="2" customFormat="1" ht="41.4" x14ac:dyDescent="0.3">
      <c r="A133" s="24">
        <v>121</v>
      </c>
      <c r="B133" s="12">
        <v>6</v>
      </c>
      <c r="C133" s="4" t="s">
        <v>11</v>
      </c>
      <c r="D133" s="4" t="s">
        <v>251</v>
      </c>
      <c r="E133" s="14" t="s">
        <v>262</v>
      </c>
      <c r="F133" s="14" t="s">
        <v>263</v>
      </c>
      <c r="G133" s="6" t="s">
        <v>15</v>
      </c>
      <c r="H133" s="6" t="s">
        <v>20</v>
      </c>
      <c r="I133" s="8">
        <v>18</v>
      </c>
      <c r="J133" s="8">
        <v>18</v>
      </c>
      <c r="K133" s="8"/>
      <c r="L133"/>
      <c r="M133"/>
      <c r="N133"/>
      <c r="O133"/>
      <c r="P133"/>
      <c r="Q133"/>
      <c r="R133"/>
    </row>
    <row r="134" spans="1:18" s="2" customFormat="1" ht="41.4" x14ac:dyDescent="0.3">
      <c r="A134" s="24">
        <v>122</v>
      </c>
      <c r="B134" s="12">
        <v>7</v>
      </c>
      <c r="C134" s="4" t="s">
        <v>11</v>
      </c>
      <c r="D134" s="4" t="s">
        <v>251</v>
      </c>
      <c r="E134" s="14" t="s">
        <v>264</v>
      </c>
      <c r="F134" s="14" t="s">
        <v>265</v>
      </c>
      <c r="G134" s="6" t="s">
        <v>15</v>
      </c>
      <c r="H134" s="6" t="s">
        <v>20</v>
      </c>
      <c r="I134" s="8">
        <v>6</v>
      </c>
      <c r="J134" s="8">
        <v>6</v>
      </c>
      <c r="K134" s="8"/>
      <c r="L134"/>
      <c r="M134"/>
      <c r="N134"/>
      <c r="O134"/>
      <c r="P134"/>
      <c r="Q134"/>
      <c r="R134"/>
    </row>
    <row r="135" spans="1:18" s="2" customFormat="1" ht="41.4" x14ac:dyDescent="0.3">
      <c r="A135" s="24">
        <v>123</v>
      </c>
      <c r="B135" s="12">
        <v>8</v>
      </c>
      <c r="C135" s="4" t="s">
        <v>11</v>
      </c>
      <c r="D135" s="4" t="s">
        <v>251</v>
      </c>
      <c r="E135" s="14" t="s">
        <v>266</v>
      </c>
      <c r="F135" s="14" t="s">
        <v>267</v>
      </c>
      <c r="G135" s="6" t="s">
        <v>15</v>
      </c>
      <c r="H135" s="6" t="s">
        <v>20</v>
      </c>
      <c r="I135" s="8">
        <v>5</v>
      </c>
      <c r="J135" s="8">
        <v>5</v>
      </c>
      <c r="K135" s="8"/>
      <c r="L135"/>
      <c r="M135"/>
      <c r="N135"/>
      <c r="O135"/>
      <c r="P135"/>
      <c r="Q135"/>
      <c r="R135"/>
    </row>
    <row r="136" spans="1:18" s="2" customFormat="1" ht="41.4" x14ac:dyDescent="0.3">
      <c r="A136" s="24">
        <v>124</v>
      </c>
      <c r="B136" s="12">
        <v>9</v>
      </c>
      <c r="C136" s="4" t="s">
        <v>11</v>
      </c>
      <c r="D136" s="4" t="s">
        <v>251</v>
      </c>
      <c r="E136" s="14" t="s">
        <v>268</v>
      </c>
      <c r="F136" s="14" t="s">
        <v>269</v>
      </c>
      <c r="G136" s="6" t="s">
        <v>15</v>
      </c>
      <c r="H136" s="6" t="s">
        <v>20</v>
      </c>
      <c r="I136" s="8">
        <v>4</v>
      </c>
      <c r="J136" s="8">
        <v>4</v>
      </c>
      <c r="K136" s="8"/>
      <c r="L136"/>
      <c r="M136"/>
      <c r="N136"/>
      <c r="O136"/>
      <c r="P136"/>
      <c r="Q136"/>
      <c r="R136"/>
    </row>
    <row r="137" spans="1:18" s="2" customFormat="1" ht="41.4" x14ac:dyDescent="0.3">
      <c r="A137" s="24">
        <v>125</v>
      </c>
      <c r="B137" s="12">
        <v>10</v>
      </c>
      <c r="C137" s="4" t="s">
        <v>11</v>
      </c>
      <c r="D137" s="4" t="s">
        <v>251</v>
      </c>
      <c r="E137" s="14" t="s">
        <v>270</v>
      </c>
      <c r="F137" s="14" t="s">
        <v>271</v>
      </c>
      <c r="G137" s="6" t="s">
        <v>15</v>
      </c>
      <c r="H137" s="6" t="s">
        <v>20</v>
      </c>
      <c r="I137" s="8">
        <v>3</v>
      </c>
      <c r="J137" s="8">
        <v>3</v>
      </c>
      <c r="K137" s="8"/>
      <c r="L137"/>
      <c r="M137"/>
      <c r="N137"/>
      <c r="O137"/>
      <c r="P137"/>
      <c r="Q137"/>
      <c r="R137"/>
    </row>
    <row r="138" spans="1:18" s="2" customFormat="1" ht="41.4" x14ac:dyDescent="0.3">
      <c r="A138" s="24">
        <v>126</v>
      </c>
      <c r="B138" s="12">
        <v>11</v>
      </c>
      <c r="C138" s="4" t="s">
        <v>11</v>
      </c>
      <c r="D138" s="4" t="s">
        <v>251</v>
      </c>
      <c r="E138" s="14" t="s">
        <v>272</v>
      </c>
      <c r="F138" s="14" t="s">
        <v>273</v>
      </c>
      <c r="G138" s="6" t="s">
        <v>15</v>
      </c>
      <c r="H138" s="6" t="s">
        <v>20</v>
      </c>
      <c r="I138" s="8">
        <v>3</v>
      </c>
      <c r="J138" s="8">
        <v>3</v>
      </c>
      <c r="K138" s="8"/>
      <c r="L138"/>
      <c r="M138"/>
      <c r="N138"/>
      <c r="O138"/>
      <c r="P138"/>
      <c r="Q138"/>
      <c r="R138"/>
    </row>
    <row r="139" spans="1:18" s="2" customFormat="1" ht="41.4" x14ac:dyDescent="0.3">
      <c r="A139" s="24">
        <v>127</v>
      </c>
      <c r="B139" s="12">
        <v>12</v>
      </c>
      <c r="C139" s="4" t="s">
        <v>11</v>
      </c>
      <c r="D139" s="4" t="s">
        <v>251</v>
      </c>
      <c r="E139" s="14" t="s">
        <v>274</v>
      </c>
      <c r="F139" s="14" t="s">
        <v>275</v>
      </c>
      <c r="G139" s="6" t="s">
        <v>15</v>
      </c>
      <c r="H139" s="6" t="s">
        <v>20</v>
      </c>
      <c r="I139" s="8">
        <v>3</v>
      </c>
      <c r="J139" s="8">
        <v>3</v>
      </c>
      <c r="K139" s="8"/>
      <c r="L139"/>
      <c r="M139"/>
      <c r="N139"/>
      <c r="O139"/>
      <c r="P139"/>
      <c r="Q139"/>
      <c r="R139"/>
    </row>
    <row r="140" spans="1:18" s="2" customFormat="1" ht="41.4" x14ac:dyDescent="0.3">
      <c r="A140" s="24">
        <v>128</v>
      </c>
      <c r="B140" s="12">
        <v>13</v>
      </c>
      <c r="C140" s="4" t="s">
        <v>11</v>
      </c>
      <c r="D140" s="4" t="s">
        <v>251</v>
      </c>
      <c r="E140" s="14" t="s">
        <v>276</v>
      </c>
      <c r="F140" s="14" t="s">
        <v>277</v>
      </c>
      <c r="G140" s="6" t="s">
        <v>15</v>
      </c>
      <c r="H140" s="6" t="s">
        <v>20</v>
      </c>
      <c r="I140" s="8">
        <v>3</v>
      </c>
      <c r="J140" s="8">
        <v>3</v>
      </c>
      <c r="K140" s="8"/>
      <c r="L140"/>
      <c r="M140"/>
      <c r="N140"/>
      <c r="O140"/>
      <c r="P140"/>
      <c r="Q140"/>
      <c r="R140"/>
    </row>
    <row r="141" spans="1:18" s="2" customFormat="1" ht="41.4" x14ac:dyDescent="0.3">
      <c r="A141" s="24">
        <v>129</v>
      </c>
      <c r="B141" s="12">
        <v>14</v>
      </c>
      <c r="C141" s="4" t="s">
        <v>11</v>
      </c>
      <c r="D141" s="4" t="s">
        <v>251</v>
      </c>
      <c r="E141" s="14" t="s">
        <v>278</v>
      </c>
      <c r="F141" s="14" t="s">
        <v>279</v>
      </c>
      <c r="G141" s="6" t="s">
        <v>15</v>
      </c>
      <c r="H141" s="6" t="s">
        <v>20</v>
      </c>
      <c r="I141" s="8">
        <v>3</v>
      </c>
      <c r="J141" s="8">
        <v>3</v>
      </c>
      <c r="K141" s="8"/>
      <c r="L141"/>
      <c r="M141"/>
      <c r="N141"/>
      <c r="O141"/>
      <c r="P141"/>
      <c r="Q141"/>
      <c r="R141"/>
    </row>
    <row r="142" spans="1:18" s="2" customFormat="1" ht="41.4" x14ac:dyDescent="0.3">
      <c r="A142" s="24">
        <v>130</v>
      </c>
      <c r="B142" s="12">
        <v>15</v>
      </c>
      <c r="C142" s="4" t="s">
        <v>11</v>
      </c>
      <c r="D142" s="4" t="s">
        <v>251</v>
      </c>
      <c r="E142" s="14" t="s">
        <v>280</v>
      </c>
      <c r="F142" s="14" t="s">
        <v>281</v>
      </c>
      <c r="G142" s="6" t="s">
        <v>15</v>
      </c>
      <c r="H142" s="6" t="s">
        <v>20</v>
      </c>
      <c r="I142" s="8">
        <v>2</v>
      </c>
      <c r="J142" s="8">
        <v>2</v>
      </c>
      <c r="K142" s="8"/>
      <c r="L142"/>
      <c r="M142"/>
      <c r="N142"/>
      <c r="O142"/>
      <c r="P142"/>
      <c r="Q142"/>
      <c r="R142"/>
    </row>
    <row r="143" spans="1:18" s="2" customFormat="1" ht="41.4" x14ac:dyDescent="0.3">
      <c r="A143" s="24">
        <v>131</v>
      </c>
      <c r="B143" s="12">
        <v>16</v>
      </c>
      <c r="C143" s="4" t="s">
        <v>11</v>
      </c>
      <c r="D143" s="4" t="s">
        <v>251</v>
      </c>
      <c r="E143" s="14" t="s">
        <v>282</v>
      </c>
      <c r="F143" s="14" t="s">
        <v>283</v>
      </c>
      <c r="G143" s="6" t="s">
        <v>15</v>
      </c>
      <c r="H143" s="6" t="s">
        <v>20</v>
      </c>
      <c r="I143" s="8">
        <v>2</v>
      </c>
      <c r="J143" s="8">
        <v>2</v>
      </c>
      <c r="K143" s="8"/>
      <c r="L143"/>
      <c r="M143"/>
      <c r="N143"/>
      <c r="O143"/>
      <c r="P143"/>
      <c r="Q143"/>
      <c r="R143"/>
    </row>
    <row r="144" spans="1:18" s="2" customFormat="1" ht="41.4" x14ac:dyDescent="0.3">
      <c r="A144" s="24">
        <v>132</v>
      </c>
      <c r="B144" s="12">
        <v>17</v>
      </c>
      <c r="C144" s="4" t="s">
        <v>11</v>
      </c>
      <c r="D144" s="4" t="s">
        <v>251</v>
      </c>
      <c r="E144" s="14" t="s">
        <v>284</v>
      </c>
      <c r="F144" s="14" t="s">
        <v>285</v>
      </c>
      <c r="G144" s="6" t="s">
        <v>15</v>
      </c>
      <c r="H144" s="6" t="s">
        <v>20</v>
      </c>
      <c r="I144" s="8">
        <v>2</v>
      </c>
      <c r="J144" s="8">
        <v>2</v>
      </c>
      <c r="K144" s="8"/>
      <c r="L144"/>
      <c r="M144"/>
      <c r="N144"/>
      <c r="O144"/>
      <c r="P144"/>
      <c r="Q144"/>
      <c r="R144"/>
    </row>
    <row r="145" spans="1:18" s="2" customFormat="1" ht="41.4" x14ac:dyDescent="0.3">
      <c r="A145" s="24">
        <v>133</v>
      </c>
      <c r="B145" s="12">
        <v>18</v>
      </c>
      <c r="C145" s="4" t="s">
        <v>11</v>
      </c>
      <c r="D145" s="4" t="s">
        <v>251</v>
      </c>
      <c r="E145" s="14" t="s">
        <v>286</v>
      </c>
      <c r="F145" s="14" t="s">
        <v>287</v>
      </c>
      <c r="G145" s="6" t="s">
        <v>15</v>
      </c>
      <c r="H145" s="6" t="s">
        <v>20</v>
      </c>
      <c r="I145" s="8">
        <v>1</v>
      </c>
      <c r="J145" s="8">
        <v>1</v>
      </c>
      <c r="K145" s="8"/>
      <c r="L145"/>
      <c r="M145"/>
      <c r="N145"/>
      <c r="O145"/>
      <c r="P145"/>
      <c r="Q145"/>
      <c r="R145"/>
    </row>
    <row r="146" spans="1:18" s="2" customFormat="1" ht="41.4" x14ac:dyDescent="0.3">
      <c r="A146" s="24">
        <v>134</v>
      </c>
      <c r="B146" s="12">
        <v>19</v>
      </c>
      <c r="C146" s="4" t="s">
        <v>11</v>
      </c>
      <c r="D146" s="4" t="s">
        <v>251</v>
      </c>
      <c r="E146" s="18" t="s">
        <v>288</v>
      </c>
      <c r="F146" s="18" t="s">
        <v>289</v>
      </c>
      <c r="G146" s="10" t="s">
        <v>83</v>
      </c>
      <c r="H146" s="10" t="s">
        <v>20</v>
      </c>
      <c r="I146" s="11">
        <v>5</v>
      </c>
      <c r="J146" s="11">
        <v>5</v>
      </c>
      <c r="K146" s="11"/>
      <c r="L146"/>
      <c r="M146"/>
      <c r="N146"/>
      <c r="O146"/>
      <c r="P146"/>
      <c r="Q146"/>
      <c r="R146"/>
    </row>
    <row r="147" spans="1:18" s="2" customFormat="1" ht="41.4" x14ac:dyDescent="0.3">
      <c r="A147" s="24">
        <v>135</v>
      </c>
      <c r="B147" s="12">
        <v>20</v>
      </c>
      <c r="C147" s="4" t="s">
        <v>11</v>
      </c>
      <c r="D147" s="4" t="s">
        <v>251</v>
      </c>
      <c r="E147" s="18" t="s">
        <v>290</v>
      </c>
      <c r="F147" s="18" t="s">
        <v>291</v>
      </c>
      <c r="G147" s="10" t="s">
        <v>83</v>
      </c>
      <c r="H147" s="10" t="s">
        <v>20</v>
      </c>
      <c r="I147" s="11">
        <v>5</v>
      </c>
      <c r="J147" s="11">
        <v>5</v>
      </c>
      <c r="K147" s="11"/>
      <c r="L147"/>
      <c r="M147"/>
      <c r="N147"/>
      <c r="O147"/>
      <c r="P147"/>
      <c r="Q147"/>
      <c r="R147"/>
    </row>
    <row r="148" spans="1:18" s="2" customFormat="1" ht="41.4" x14ac:dyDescent="0.3">
      <c r="A148" s="24">
        <v>136</v>
      </c>
      <c r="B148" s="12">
        <v>21</v>
      </c>
      <c r="C148" s="4" t="s">
        <v>11</v>
      </c>
      <c r="D148" s="4" t="s">
        <v>251</v>
      </c>
      <c r="E148" s="18" t="s">
        <v>292</v>
      </c>
      <c r="F148" s="18" t="s">
        <v>293</v>
      </c>
      <c r="G148" s="10" t="s">
        <v>83</v>
      </c>
      <c r="H148" s="10" t="s">
        <v>20</v>
      </c>
      <c r="I148" s="11">
        <v>5</v>
      </c>
      <c r="J148" s="11">
        <v>5</v>
      </c>
      <c r="K148" s="11"/>
      <c r="L148"/>
      <c r="M148"/>
      <c r="N148"/>
      <c r="O148"/>
      <c r="P148"/>
      <c r="Q148"/>
      <c r="R148"/>
    </row>
    <row r="149" spans="1:18" s="2" customFormat="1" ht="41.4" x14ac:dyDescent="0.3">
      <c r="A149" s="24">
        <v>137</v>
      </c>
      <c r="B149" s="12">
        <v>22</v>
      </c>
      <c r="C149" s="4" t="s">
        <v>11</v>
      </c>
      <c r="D149" s="4" t="s">
        <v>251</v>
      </c>
      <c r="E149" s="18" t="s">
        <v>294</v>
      </c>
      <c r="F149" s="18" t="s">
        <v>295</v>
      </c>
      <c r="G149" s="10" t="s">
        <v>83</v>
      </c>
      <c r="H149" s="10" t="s">
        <v>20</v>
      </c>
      <c r="I149" s="11">
        <v>5</v>
      </c>
      <c r="J149" s="11">
        <v>5</v>
      </c>
      <c r="K149" s="11"/>
      <c r="L149"/>
      <c r="M149"/>
      <c r="N149"/>
      <c r="O149"/>
      <c r="P149"/>
      <c r="Q149"/>
      <c r="R149"/>
    </row>
    <row r="150" spans="1:18" s="2" customFormat="1" ht="41.4" x14ac:dyDescent="0.3">
      <c r="A150" s="24">
        <v>138</v>
      </c>
      <c r="B150" s="12">
        <v>23</v>
      </c>
      <c r="C150" s="4" t="s">
        <v>11</v>
      </c>
      <c r="D150" s="4" t="s">
        <v>251</v>
      </c>
      <c r="E150" s="18" t="s">
        <v>296</v>
      </c>
      <c r="F150" s="18" t="s">
        <v>297</v>
      </c>
      <c r="G150" s="10" t="s">
        <v>83</v>
      </c>
      <c r="H150" s="10" t="s">
        <v>20</v>
      </c>
      <c r="I150" s="11">
        <v>5</v>
      </c>
      <c r="J150" s="11">
        <v>5</v>
      </c>
      <c r="K150" s="11"/>
      <c r="L150"/>
      <c r="M150"/>
      <c r="N150"/>
      <c r="O150"/>
      <c r="P150"/>
      <c r="Q150"/>
      <c r="R150"/>
    </row>
    <row r="151" spans="1:18" s="2" customFormat="1" ht="41.4" x14ac:dyDescent="0.3">
      <c r="A151" s="24">
        <v>139</v>
      </c>
      <c r="B151" s="12">
        <v>24</v>
      </c>
      <c r="C151" s="4" t="s">
        <v>11</v>
      </c>
      <c r="D151" s="4" t="s">
        <v>251</v>
      </c>
      <c r="E151" s="18" t="s">
        <v>298</v>
      </c>
      <c r="F151" s="18" t="s">
        <v>299</v>
      </c>
      <c r="G151" s="10" t="s">
        <v>83</v>
      </c>
      <c r="H151" s="10" t="s">
        <v>20</v>
      </c>
      <c r="I151" s="11">
        <v>5</v>
      </c>
      <c r="J151" s="11">
        <v>5</v>
      </c>
      <c r="K151" s="11"/>
      <c r="L151"/>
      <c r="M151"/>
      <c r="N151"/>
      <c r="O151"/>
      <c r="P151"/>
      <c r="Q151"/>
      <c r="R151"/>
    </row>
    <row r="152" spans="1:18" s="2" customFormat="1" ht="41.4" x14ac:dyDescent="0.3">
      <c r="A152" s="24">
        <v>140</v>
      </c>
      <c r="B152" s="12">
        <v>25</v>
      </c>
      <c r="C152" s="4" t="s">
        <v>11</v>
      </c>
      <c r="D152" s="4" t="s">
        <v>251</v>
      </c>
      <c r="E152" s="18" t="s">
        <v>300</v>
      </c>
      <c r="F152" s="18" t="s">
        <v>301</v>
      </c>
      <c r="G152" s="10" t="s">
        <v>83</v>
      </c>
      <c r="H152" s="10" t="s">
        <v>20</v>
      </c>
      <c r="I152" s="11">
        <v>5</v>
      </c>
      <c r="J152" s="11">
        <v>5</v>
      </c>
      <c r="K152" s="11"/>
      <c r="L152"/>
      <c r="M152"/>
      <c r="N152"/>
      <c r="O152"/>
      <c r="P152"/>
      <c r="Q152"/>
      <c r="R152"/>
    </row>
    <row r="153" spans="1:18" s="2" customFormat="1" ht="41.4" x14ac:dyDescent="0.3">
      <c r="A153" s="24">
        <v>141</v>
      </c>
      <c r="B153" s="12">
        <v>26</v>
      </c>
      <c r="C153" s="4" t="s">
        <v>11</v>
      </c>
      <c r="D153" s="4" t="s">
        <v>251</v>
      </c>
      <c r="E153" s="18" t="s">
        <v>302</v>
      </c>
      <c r="F153" s="18" t="s">
        <v>303</v>
      </c>
      <c r="G153" s="10" t="s">
        <v>83</v>
      </c>
      <c r="H153" s="10" t="s">
        <v>20</v>
      </c>
      <c r="I153" s="11">
        <v>5</v>
      </c>
      <c r="J153" s="11">
        <v>5</v>
      </c>
      <c r="K153" s="11"/>
      <c r="L153"/>
      <c r="M153"/>
      <c r="N153"/>
      <c r="O153"/>
      <c r="P153"/>
      <c r="Q153"/>
      <c r="R153"/>
    </row>
    <row r="154" spans="1:18" s="2" customFormat="1" ht="41.4" x14ac:dyDescent="0.3">
      <c r="A154" s="24">
        <v>142</v>
      </c>
      <c r="B154" s="12">
        <v>27</v>
      </c>
      <c r="C154" s="4" t="s">
        <v>11</v>
      </c>
      <c r="D154" s="4" t="s">
        <v>251</v>
      </c>
      <c r="E154" s="18" t="s">
        <v>304</v>
      </c>
      <c r="F154" s="18" t="s">
        <v>305</v>
      </c>
      <c r="G154" s="10" t="s">
        <v>83</v>
      </c>
      <c r="H154" s="10" t="s">
        <v>20</v>
      </c>
      <c r="I154" s="11">
        <v>5</v>
      </c>
      <c r="J154" s="11">
        <v>5</v>
      </c>
      <c r="K154" s="11"/>
      <c r="L154"/>
      <c r="M154"/>
      <c r="N154"/>
      <c r="O154"/>
      <c r="P154"/>
      <c r="Q154"/>
      <c r="R154"/>
    </row>
    <row r="155" spans="1:18" s="2" customFormat="1" ht="41.4" x14ac:dyDescent="0.3">
      <c r="A155" s="24">
        <v>143</v>
      </c>
      <c r="B155" s="12">
        <v>28</v>
      </c>
      <c r="C155" s="4" t="s">
        <v>11</v>
      </c>
      <c r="D155" s="4" t="s">
        <v>251</v>
      </c>
      <c r="E155" s="18" t="s">
        <v>306</v>
      </c>
      <c r="F155" s="18" t="s">
        <v>307</v>
      </c>
      <c r="G155" s="10" t="s">
        <v>83</v>
      </c>
      <c r="H155" s="10" t="s">
        <v>20</v>
      </c>
      <c r="I155" s="11">
        <v>4</v>
      </c>
      <c r="J155" s="11">
        <v>4</v>
      </c>
      <c r="K155" s="11"/>
      <c r="L155"/>
      <c r="M155"/>
      <c r="N155"/>
      <c r="O155"/>
      <c r="P155"/>
      <c r="Q155"/>
      <c r="R155"/>
    </row>
    <row r="156" spans="1:18" s="2" customFormat="1" ht="41.4" x14ac:dyDescent="0.3">
      <c r="A156" s="24">
        <v>144</v>
      </c>
      <c r="B156" s="12">
        <v>29</v>
      </c>
      <c r="C156" s="4" t="s">
        <v>11</v>
      </c>
      <c r="D156" s="4" t="s">
        <v>251</v>
      </c>
      <c r="E156" s="18" t="s">
        <v>308</v>
      </c>
      <c r="F156" s="18" t="s">
        <v>309</v>
      </c>
      <c r="G156" s="10" t="s">
        <v>83</v>
      </c>
      <c r="H156" s="10" t="s">
        <v>20</v>
      </c>
      <c r="I156" s="11">
        <v>4</v>
      </c>
      <c r="J156" s="11">
        <v>4</v>
      </c>
      <c r="K156" s="11"/>
      <c r="L156"/>
      <c r="M156"/>
      <c r="N156"/>
      <c r="O156"/>
      <c r="P156"/>
      <c r="Q156"/>
      <c r="R156"/>
    </row>
    <row r="157" spans="1:18" s="2" customFormat="1" ht="41.4" x14ac:dyDescent="0.3">
      <c r="A157" s="24">
        <v>145</v>
      </c>
      <c r="B157" s="12">
        <v>30</v>
      </c>
      <c r="C157" s="4" t="s">
        <v>11</v>
      </c>
      <c r="D157" s="4" t="s">
        <v>251</v>
      </c>
      <c r="E157" s="18" t="s">
        <v>310</v>
      </c>
      <c r="F157" s="18" t="s">
        <v>311</v>
      </c>
      <c r="G157" s="10" t="s">
        <v>83</v>
      </c>
      <c r="H157" s="10" t="s">
        <v>20</v>
      </c>
      <c r="I157" s="11">
        <v>4</v>
      </c>
      <c r="J157" s="11">
        <v>4</v>
      </c>
      <c r="K157" s="11"/>
      <c r="L157"/>
      <c r="M157"/>
      <c r="N157"/>
      <c r="O157"/>
      <c r="P157"/>
      <c r="Q157"/>
      <c r="R157"/>
    </row>
    <row r="158" spans="1:18" s="2" customFormat="1" ht="41.4" x14ac:dyDescent="0.3">
      <c r="A158" s="24">
        <v>146</v>
      </c>
      <c r="B158" s="12">
        <v>31</v>
      </c>
      <c r="C158" s="4" t="s">
        <v>11</v>
      </c>
      <c r="D158" s="4" t="s">
        <v>251</v>
      </c>
      <c r="E158" s="18" t="s">
        <v>312</v>
      </c>
      <c r="F158" s="18" t="s">
        <v>313</v>
      </c>
      <c r="G158" s="10" t="s">
        <v>83</v>
      </c>
      <c r="H158" s="10" t="s">
        <v>20</v>
      </c>
      <c r="I158" s="11">
        <v>4</v>
      </c>
      <c r="J158" s="11">
        <v>4</v>
      </c>
      <c r="K158" s="11"/>
      <c r="L158"/>
      <c r="M158"/>
      <c r="N158"/>
      <c r="O158"/>
      <c r="P158"/>
      <c r="Q158"/>
      <c r="R158"/>
    </row>
    <row r="159" spans="1:18" s="2" customFormat="1" ht="41.4" x14ac:dyDescent="0.3">
      <c r="A159" s="24">
        <v>147</v>
      </c>
      <c r="B159" s="12">
        <v>32</v>
      </c>
      <c r="C159" s="4" t="s">
        <v>11</v>
      </c>
      <c r="D159" s="4" t="s">
        <v>251</v>
      </c>
      <c r="E159" s="18" t="s">
        <v>314</v>
      </c>
      <c r="F159" s="18" t="s">
        <v>315</v>
      </c>
      <c r="G159" s="10" t="s">
        <v>83</v>
      </c>
      <c r="H159" s="10" t="s">
        <v>20</v>
      </c>
      <c r="I159" s="11">
        <v>4</v>
      </c>
      <c r="J159" s="11">
        <v>4</v>
      </c>
      <c r="K159" s="11"/>
      <c r="L159"/>
      <c r="M159"/>
      <c r="N159"/>
      <c r="O159"/>
      <c r="P159"/>
      <c r="Q159"/>
      <c r="R159"/>
    </row>
    <row r="160" spans="1:18" s="2" customFormat="1" ht="41.4" x14ac:dyDescent="0.3">
      <c r="A160" s="24">
        <v>148</v>
      </c>
      <c r="B160" s="12">
        <v>33</v>
      </c>
      <c r="C160" s="4" t="s">
        <v>11</v>
      </c>
      <c r="D160" s="4" t="s">
        <v>251</v>
      </c>
      <c r="E160" s="18" t="s">
        <v>316</v>
      </c>
      <c r="F160" s="18" t="s">
        <v>317</v>
      </c>
      <c r="G160" s="10" t="s">
        <v>83</v>
      </c>
      <c r="H160" s="10" t="s">
        <v>20</v>
      </c>
      <c r="I160" s="11">
        <v>3</v>
      </c>
      <c r="J160" s="11">
        <v>3</v>
      </c>
      <c r="K160" s="11"/>
      <c r="L160"/>
      <c r="M160"/>
      <c r="N160"/>
      <c r="O160"/>
      <c r="P160"/>
      <c r="Q160"/>
      <c r="R160"/>
    </row>
    <row r="161" spans="1:18" s="2" customFormat="1" ht="41.4" x14ac:dyDescent="0.3">
      <c r="A161" s="24">
        <v>149</v>
      </c>
      <c r="B161" s="12">
        <v>34</v>
      </c>
      <c r="C161" s="4" t="s">
        <v>11</v>
      </c>
      <c r="D161" s="4" t="s">
        <v>251</v>
      </c>
      <c r="E161" s="18" t="s">
        <v>318</v>
      </c>
      <c r="F161" s="18" t="s">
        <v>319</v>
      </c>
      <c r="G161" s="10" t="s">
        <v>83</v>
      </c>
      <c r="H161" s="10" t="s">
        <v>20</v>
      </c>
      <c r="I161" s="11">
        <v>3</v>
      </c>
      <c r="J161" s="11">
        <v>3</v>
      </c>
      <c r="K161" s="11"/>
      <c r="L161"/>
      <c r="M161"/>
      <c r="N161"/>
      <c r="O161"/>
      <c r="P161"/>
      <c r="Q161"/>
      <c r="R161"/>
    </row>
    <row r="162" spans="1:18" s="2" customFormat="1" ht="41.4" x14ac:dyDescent="0.3">
      <c r="A162" s="24">
        <v>150</v>
      </c>
      <c r="B162" s="12">
        <v>35</v>
      </c>
      <c r="C162" s="4" t="s">
        <v>11</v>
      </c>
      <c r="D162" s="4" t="s">
        <v>251</v>
      </c>
      <c r="E162" s="18" t="s">
        <v>320</v>
      </c>
      <c r="F162" s="18" t="s">
        <v>321</v>
      </c>
      <c r="G162" s="10" t="s">
        <v>83</v>
      </c>
      <c r="H162" s="10" t="s">
        <v>20</v>
      </c>
      <c r="I162" s="11">
        <v>1</v>
      </c>
      <c r="J162" s="11">
        <v>1</v>
      </c>
      <c r="K162" s="11"/>
      <c r="L162"/>
      <c r="M162"/>
      <c r="N162"/>
      <c r="O162"/>
      <c r="P162"/>
      <c r="Q162"/>
      <c r="R162"/>
    </row>
    <row r="163" spans="1:18" s="2" customFormat="1" ht="41.4" x14ac:dyDescent="0.3">
      <c r="A163" s="24">
        <v>151</v>
      </c>
      <c r="B163" s="12">
        <v>36</v>
      </c>
      <c r="C163" s="4" t="s">
        <v>11</v>
      </c>
      <c r="D163" s="4" t="s">
        <v>251</v>
      </c>
      <c r="E163" s="18" t="s">
        <v>322</v>
      </c>
      <c r="F163" s="18" t="s">
        <v>323</v>
      </c>
      <c r="G163" s="10" t="s">
        <v>83</v>
      </c>
      <c r="H163" s="10" t="s">
        <v>20</v>
      </c>
      <c r="I163" s="11">
        <v>1</v>
      </c>
      <c r="J163" s="11">
        <v>1</v>
      </c>
      <c r="K163" s="11"/>
      <c r="L163"/>
      <c r="M163"/>
      <c r="N163"/>
      <c r="O163"/>
      <c r="P163"/>
      <c r="Q163"/>
      <c r="R163"/>
    </row>
    <row r="164" spans="1:18" s="2" customFormat="1" ht="30.6" x14ac:dyDescent="0.3">
      <c r="A164" s="24">
        <v>152</v>
      </c>
      <c r="B164" s="3">
        <v>1</v>
      </c>
      <c r="C164" s="4" t="s">
        <v>11</v>
      </c>
      <c r="D164" s="4" t="s">
        <v>324</v>
      </c>
      <c r="E164" s="14" t="s">
        <v>325</v>
      </c>
      <c r="F164" s="14" t="s">
        <v>326</v>
      </c>
      <c r="G164" s="6" t="s">
        <v>15</v>
      </c>
      <c r="H164" s="6" t="s">
        <v>16</v>
      </c>
      <c r="I164" s="8" t="s">
        <v>17</v>
      </c>
      <c r="J164" s="8" t="s">
        <v>17</v>
      </c>
      <c r="K164" s="8"/>
      <c r="L164"/>
      <c r="M164"/>
      <c r="N164"/>
      <c r="O164"/>
      <c r="P164"/>
      <c r="Q164"/>
      <c r="R164"/>
    </row>
    <row r="165" spans="1:18" s="2" customFormat="1" ht="41.4" x14ac:dyDescent="0.3">
      <c r="A165" s="24">
        <v>153</v>
      </c>
      <c r="B165" s="3">
        <v>2</v>
      </c>
      <c r="C165" s="4" t="s">
        <v>11</v>
      </c>
      <c r="D165" s="4" t="s">
        <v>324</v>
      </c>
      <c r="E165" s="14" t="s">
        <v>327</v>
      </c>
      <c r="F165" s="14" t="s">
        <v>328</v>
      </c>
      <c r="G165" s="6" t="s">
        <v>15</v>
      </c>
      <c r="H165" s="6" t="s">
        <v>20</v>
      </c>
      <c r="I165" s="8">
        <v>3</v>
      </c>
      <c r="J165" s="8">
        <v>3</v>
      </c>
      <c r="K165" s="8"/>
      <c r="L165"/>
      <c r="M165"/>
      <c r="N165"/>
      <c r="O165"/>
      <c r="P165"/>
      <c r="Q165"/>
      <c r="R165"/>
    </row>
    <row r="166" spans="1:18" s="2" customFormat="1" ht="41.4" x14ac:dyDescent="0.3">
      <c r="A166" s="24">
        <v>154</v>
      </c>
      <c r="B166" s="3">
        <v>3</v>
      </c>
      <c r="C166" s="4" t="s">
        <v>11</v>
      </c>
      <c r="D166" s="4" t="s">
        <v>324</v>
      </c>
      <c r="E166" s="14" t="s">
        <v>329</v>
      </c>
      <c r="F166" s="14" t="s">
        <v>330</v>
      </c>
      <c r="G166" s="6" t="s">
        <v>15</v>
      </c>
      <c r="H166" s="6" t="s">
        <v>20</v>
      </c>
      <c r="I166" s="8">
        <v>3</v>
      </c>
      <c r="J166" s="8">
        <v>3</v>
      </c>
      <c r="K166" s="8"/>
      <c r="L166"/>
      <c r="M166"/>
      <c r="N166"/>
      <c r="O166"/>
      <c r="P166"/>
      <c r="Q166"/>
      <c r="R166"/>
    </row>
    <row r="167" spans="1:18" s="2" customFormat="1" ht="41.4" x14ac:dyDescent="0.3">
      <c r="A167" s="24">
        <v>155</v>
      </c>
      <c r="B167" s="3">
        <v>4</v>
      </c>
      <c r="C167" s="4" t="s">
        <v>11</v>
      </c>
      <c r="D167" s="4" t="s">
        <v>324</v>
      </c>
      <c r="E167" s="14" t="s">
        <v>331</v>
      </c>
      <c r="F167" s="14" t="s">
        <v>332</v>
      </c>
      <c r="G167" s="6" t="s">
        <v>15</v>
      </c>
      <c r="H167" s="6" t="s">
        <v>20</v>
      </c>
      <c r="I167" s="8">
        <v>3</v>
      </c>
      <c r="J167" s="8">
        <v>3</v>
      </c>
      <c r="K167" s="8"/>
      <c r="L167"/>
      <c r="M167"/>
      <c r="N167"/>
      <c r="O167"/>
      <c r="P167"/>
      <c r="Q167"/>
      <c r="R167"/>
    </row>
    <row r="168" spans="1:18" s="2" customFormat="1" ht="30.6" x14ac:dyDescent="0.3">
      <c r="A168" s="24">
        <v>156</v>
      </c>
      <c r="B168" s="3">
        <v>5</v>
      </c>
      <c r="C168" s="4" t="s">
        <v>11</v>
      </c>
      <c r="D168" s="4" t="s">
        <v>324</v>
      </c>
      <c r="E168" s="14" t="s">
        <v>333</v>
      </c>
      <c r="F168" s="14" t="s">
        <v>334</v>
      </c>
      <c r="G168" s="6" t="s">
        <v>15</v>
      </c>
      <c r="H168" s="6" t="s">
        <v>20</v>
      </c>
      <c r="I168" s="8">
        <v>3</v>
      </c>
      <c r="J168" s="8">
        <v>3</v>
      </c>
      <c r="K168" s="8"/>
      <c r="L168"/>
      <c r="M168"/>
      <c r="N168"/>
      <c r="O168"/>
      <c r="P168"/>
      <c r="Q168"/>
      <c r="R168"/>
    </row>
    <row r="169" spans="1:18" s="2" customFormat="1" ht="41.4" x14ac:dyDescent="0.3">
      <c r="A169" s="24">
        <v>157</v>
      </c>
      <c r="B169" s="3">
        <v>6</v>
      </c>
      <c r="C169" s="4" t="s">
        <v>11</v>
      </c>
      <c r="D169" s="4" t="s">
        <v>324</v>
      </c>
      <c r="E169" s="14" t="s">
        <v>335</v>
      </c>
      <c r="F169" s="14" t="s">
        <v>336</v>
      </c>
      <c r="G169" s="6" t="s">
        <v>15</v>
      </c>
      <c r="H169" s="6" t="s">
        <v>20</v>
      </c>
      <c r="I169" s="8">
        <v>2</v>
      </c>
      <c r="J169" s="8">
        <v>2</v>
      </c>
      <c r="K169" s="8"/>
      <c r="L169"/>
      <c r="M169"/>
      <c r="N169"/>
      <c r="O169"/>
      <c r="P169"/>
      <c r="Q169"/>
      <c r="R169"/>
    </row>
    <row r="170" spans="1:18" s="2" customFormat="1" ht="41.4" x14ac:dyDescent="0.3">
      <c r="A170" s="24">
        <v>158</v>
      </c>
      <c r="B170" s="3">
        <v>7</v>
      </c>
      <c r="C170" s="4" t="s">
        <v>11</v>
      </c>
      <c r="D170" s="4" t="s">
        <v>324</v>
      </c>
      <c r="E170" s="14" t="s">
        <v>337</v>
      </c>
      <c r="F170" s="14" t="s">
        <v>338</v>
      </c>
      <c r="G170" s="6" t="s">
        <v>15</v>
      </c>
      <c r="H170" s="6" t="s">
        <v>20</v>
      </c>
      <c r="I170" s="8">
        <v>1</v>
      </c>
      <c r="J170" s="8">
        <v>1</v>
      </c>
      <c r="K170" s="8"/>
      <c r="L170"/>
      <c r="M170"/>
      <c r="N170"/>
      <c r="O170"/>
      <c r="P170"/>
      <c r="Q170"/>
      <c r="R170"/>
    </row>
    <row r="171" spans="1:18" s="2" customFormat="1" ht="41.4" x14ac:dyDescent="0.3">
      <c r="A171" s="24">
        <v>159</v>
      </c>
      <c r="B171" s="3">
        <v>8</v>
      </c>
      <c r="C171" s="4" t="s">
        <v>11</v>
      </c>
      <c r="D171" s="4" t="s">
        <v>324</v>
      </c>
      <c r="E171" s="14" t="s">
        <v>339</v>
      </c>
      <c r="F171" s="14" t="s">
        <v>340</v>
      </c>
      <c r="G171" s="6" t="s">
        <v>15</v>
      </c>
      <c r="H171" s="6" t="s">
        <v>20</v>
      </c>
      <c r="I171" s="8">
        <v>1</v>
      </c>
      <c r="J171" s="8">
        <v>1</v>
      </c>
      <c r="K171" s="8"/>
      <c r="L171"/>
      <c r="M171"/>
      <c r="N171"/>
      <c r="O171"/>
      <c r="P171"/>
      <c r="Q171"/>
      <c r="R171"/>
    </row>
    <row r="172" spans="1:18" s="2" customFormat="1" ht="41.4" x14ac:dyDescent="0.3">
      <c r="A172" s="24">
        <v>160</v>
      </c>
      <c r="B172" s="3">
        <v>9</v>
      </c>
      <c r="C172" s="4" t="s">
        <v>11</v>
      </c>
      <c r="D172" s="4" t="s">
        <v>324</v>
      </c>
      <c r="E172" s="18" t="s">
        <v>341</v>
      </c>
      <c r="F172" s="18" t="s">
        <v>342</v>
      </c>
      <c r="G172" s="10" t="s">
        <v>83</v>
      </c>
      <c r="H172" s="10" t="s">
        <v>20</v>
      </c>
      <c r="I172" s="11">
        <v>5</v>
      </c>
      <c r="J172" s="11">
        <v>5</v>
      </c>
      <c r="K172" s="11"/>
      <c r="L172"/>
      <c r="M172"/>
      <c r="N172"/>
      <c r="O172"/>
      <c r="P172"/>
      <c r="Q172"/>
      <c r="R172"/>
    </row>
    <row r="173" spans="1:18" s="2" customFormat="1" ht="41.4" x14ac:dyDescent="0.3">
      <c r="A173" s="24">
        <v>161</v>
      </c>
      <c r="B173" s="3">
        <v>10</v>
      </c>
      <c r="C173" s="4" t="s">
        <v>11</v>
      </c>
      <c r="D173" s="4" t="s">
        <v>324</v>
      </c>
      <c r="E173" s="18" t="s">
        <v>343</v>
      </c>
      <c r="F173" s="18" t="s">
        <v>344</v>
      </c>
      <c r="G173" s="10" t="s">
        <v>83</v>
      </c>
      <c r="H173" s="10" t="s">
        <v>20</v>
      </c>
      <c r="I173" s="11">
        <v>5</v>
      </c>
      <c r="J173" s="11">
        <v>5</v>
      </c>
      <c r="K173" s="11"/>
      <c r="L173"/>
      <c r="M173"/>
      <c r="N173"/>
      <c r="O173"/>
      <c r="P173"/>
      <c r="Q173"/>
      <c r="R173"/>
    </row>
    <row r="174" spans="1:18" s="2" customFormat="1" ht="41.4" x14ac:dyDescent="0.3">
      <c r="A174" s="24">
        <v>162</v>
      </c>
      <c r="B174" s="3">
        <v>11</v>
      </c>
      <c r="C174" s="4" t="s">
        <v>11</v>
      </c>
      <c r="D174" s="4" t="s">
        <v>324</v>
      </c>
      <c r="E174" s="18" t="s">
        <v>345</v>
      </c>
      <c r="F174" s="18" t="s">
        <v>346</v>
      </c>
      <c r="G174" s="10" t="s">
        <v>83</v>
      </c>
      <c r="H174" s="10" t="s">
        <v>20</v>
      </c>
      <c r="I174" s="11">
        <v>5</v>
      </c>
      <c r="J174" s="11">
        <v>5</v>
      </c>
      <c r="K174" s="11"/>
      <c r="L174"/>
      <c r="M174"/>
      <c r="N174"/>
      <c r="O174"/>
      <c r="P174"/>
      <c r="Q174"/>
      <c r="R174"/>
    </row>
    <row r="175" spans="1:18" s="2" customFormat="1" ht="30.6" x14ac:dyDescent="0.3">
      <c r="A175" s="24">
        <v>163</v>
      </c>
      <c r="B175" s="3">
        <v>12</v>
      </c>
      <c r="C175" s="4" t="s">
        <v>11</v>
      </c>
      <c r="D175" s="4" t="s">
        <v>324</v>
      </c>
      <c r="E175" s="18" t="s">
        <v>347</v>
      </c>
      <c r="F175" s="18" t="s">
        <v>348</v>
      </c>
      <c r="G175" s="10" t="s">
        <v>83</v>
      </c>
      <c r="H175" s="10" t="s">
        <v>20</v>
      </c>
      <c r="I175" s="11">
        <v>5</v>
      </c>
      <c r="J175" s="11">
        <v>5</v>
      </c>
      <c r="K175" s="11"/>
      <c r="L175"/>
      <c r="M175"/>
      <c r="N175"/>
      <c r="O175"/>
      <c r="P175"/>
      <c r="Q175"/>
      <c r="R175"/>
    </row>
    <row r="176" spans="1:18" s="2" customFormat="1" ht="41.4" x14ac:dyDescent="0.3">
      <c r="A176" s="24">
        <v>164</v>
      </c>
      <c r="B176" s="3">
        <v>13</v>
      </c>
      <c r="C176" s="4" t="s">
        <v>11</v>
      </c>
      <c r="D176" s="4" t="s">
        <v>324</v>
      </c>
      <c r="E176" s="18" t="s">
        <v>349</v>
      </c>
      <c r="F176" s="18" t="s">
        <v>350</v>
      </c>
      <c r="G176" s="10" t="s">
        <v>83</v>
      </c>
      <c r="H176" s="10" t="s">
        <v>20</v>
      </c>
      <c r="I176" s="11">
        <v>5</v>
      </c>
      <c r="J176" s="11">
        <v>5</v>
      </c>
      <c r="K176" s="11"/>
      <c r="L176"/>
      <c r="M176"/>
      <c r="N176"/>
      <c r="O176"/>
      <c r="P176"/>
      <c r="Q176"/>
      <c r="R176"/>
    </row>
    <row r="177" spans="1:18" s="2" customFormat="1" ht="41.4" x14ac:dyDescent="0.3">
      <c r="A177" s="24">
        <v>165</v>
      </c>
      <c r="B177" s="3">
        <v>14</v>
      </c>
      <c r="C177" s="4" t="s">
        <v>11</v>
      </c>
      <c r="D177" s="4" t="s">
        <v>324</v>
      </c>
      <c r="E177" s="18" t="s">
        <v>351</v>
      </c>
      <c r="F177" s="18" t="s">
        <v>352</v>
      </c>
      <c r="G177" s="10" t="s">
        <v>83</v>
      </c>
      <c r="H177" s="10" t="s">
        <v>20</v>
      </c>
      <c r="I177" s="11">
        <v>5</v>
      </c>
      <c r="J177" s="11">
        <v>5</v>
      </c>
      <c r="K177" s="11"/>
      <c r="L177"/>
      <c r="M177"/>
      <c r="N177"/>
      <c r="O177"/>
      <c r="P177"/>
      <c r="Q177"/>
      <c r="R177"/>
    </row>
    <row r="178" spans="1:18" s="2" customFormat="1" ht="30.6" x14ac:dyDescent="0.3">
      <c r="A178" s="24">
        <v>166</v>
      </c>
      <c r="B178" s="3">
        <v>15</v>
      </c>
      <c r="C178" s="4" t="s">
        <v>11</v>
      </c>
      <c r="D178" s="4" t="s">
        <v>324</v>
      </c>
      <c r="E178" s="18" t="s">
        <v>353</v>
      </c>
      <c r="F178" s="18" t="s">
        <v>354</v>
      </c>
      <c r="G178" s="10" t="s">
        <v>83</v>
      </c>
      <c r="H178" s="10" t="s">
        <v>20</v>
      </c>
      <c r="I178" s="11">
        <v>5</v>
      </c>
      <c r="J178" s="11">
        <v>5</v>
      </c>
      <c r="K178" s="11"/>
      <c r="L178"/>
      <c r="M178"/>
      <c r="N178"/>
      <c r="O178"/>
      <c r="P178"/>
      <c r="Q178"/>
      <c r="R178"/>
    </row>
    <row r="179" spans="1:18" s="2" customFormat="1" ht="30.6" x14ac:dyDescent="0.3">
      <c r="A179" s="24">
        <v>167</v>
      </c>
      <c r="B179" s="3">
        <v>16</v>
      </c>
      <c r="C179" s="4" t="s">
        <v>11</v>
      </c>
      <c r="D179" s="4" t="s">
        <v>324</v>
      </c>
      <c r="E179" s="18" t="s">
        <v>355</v>
      </c>
      <c r="F179" s="18" t="s">
        <v>356</v>
      </c>
      <c r="G179" s="10" t="s">
        <v>83</v>
      </c>
      <c r="H179" s="10" t="s">
        <v>20</v>
      </c>
      <c r="I179" s="11">
        <v>4</v>
      </c>
      <c r="J179" s="11">
        <v>4</v>
      </c>
      <c r="K179" s="11"/>
      <c r="L179"/>
      <c r="M179"/>
      <c r="N179"/>
      <c r="O179"/>
      <c r="P179"/>
      <c r="Q179"/>
      <c r="R179"/>
    </row>
    <row r="180" spans="1:18" s="2" customFormat="1" ht="41.4" x14ac:dyDescent="0.3">
      <c r="A180" s="24">
        <v>168</v>
      </c>
      <c r="B180" s="3">
        <v>17</v>
      </c>
      <c r="C180" s="4" t="s">
        <v>11</v>
      </c>
      <c r="D180" s="4" t="s">
        <v>324</v>
      </c>
      <c r="E180" s="18" t="s">
        <v>357</v>
      </c>
      <c r="F180" s="18" t="s">
        <v>358</v>
      </c>
      <c r="G180" s="10" t="s">
        <v>83</v>
      </c>
      <c r="H180" s="10" t="s">
        <v>20</v>
      </c>
      <c r="I180" s="11">
        <v>4</v>
      </c>
      <c r="J180" s="11">
        <v>4</v>
      </c>
      <c r="K180" s="11"/>
      <c r="L180"/>
      <c r="M180"/>
      <c r="N180"/>
      <c r="O180"/>
      <c r="P180"/>
      <c r="Q180"/>
      <c r="R180"/>
    </row>
    <row r="181" spans="1:18" s="2" customFormat="1" ht="30.6" x14ac:dyDescent="0.3">
      <c r="A181" s="24">
        <v>169</v>
      </c>
      <c r="B181" s="3">
        <v>18</v>
      </c>
      <c r="C181" s="4" t="s">
        <v>11</v>
      </c>
      <c r="D181" s="4" t="s">
        <v>324</v>
      </c>
      <c r="E181" s="18" t="s">
        <v>359</v>
      </c>
      <c r="F181" s="18" t="s">
        <v>360</v>
      </c>
      <c r="G181" s="10" t="s">
        <v>83</v>
      </c>
      <c r="H181" s="10" t="s">
        <v>20</v>
      </c>
      <c r="I181" s="11">
        <v>4</v>
      </c>
      <c r="J181" s="11">
        <v>4</v>
      </c>
      <c r="K181" s="11"/>
      <c r="L181"/>
      <c r="M181"/>
      <c r="N181"/>
      <c r="O181"/>
      <c r="P181"/>
      <c r="Q181"/>
      <c r="R181"/>
    </row>
    <row r="182" spans="1:18" s="2" customFormat="1" ht="41.4" x14ac:dyDescent="0.3">
      <c r="A182" s="24">
        <v>170</v>
      </c>
      <c r="B182" s="3">
        <v>19</v>
      </c>
      <c r="C182" s="4" t="s">
        <v>11</v>
      </c>
      <c r="D182" s="4" t="s">
        <v>324</v>
      </c>
      <c r="E182" s="18" t="s">
        <v>361</v>
      </c>
      <c r="F182" s="18" t="s">
        <v>362</v>
      </c>
      <c r="G182" s="10" t="s">
        <v>83</v>
      </c>
      <c r="H182" s="10" t="s">
        <v>20</v>
      </c>
      <c r="I182" s="11">
        <v>4</v>
      </c>
      <c r="J182" s="11">
        <v>4</v>
      </c>
      <c r="K182" s="11"/>
      <c r="L182"/>
      <c r="M182"/>
      <c r="N182"/>
      <c r="O182"/>
      <c r="P182"/>
      <c r="Q182"/>
      <c r="R182"/>
    </row>
    <row r="183" spans="1:18" s="2" customFormat="1" ht="30.6" x14ac:dyDescent="0.3">
      <c r="A183" s="24">
        <v>171</v>
      </c>
      <c r="B183" s="3">
        <v>20</v>
      </c>
      <c r="C183" s="4" t="s">
        <v>11</v>
      </c>
      <c r="D183" s="4" t="s">
        <v>324</v>
      </c>
      <c r="E183" s="18" t="s">
        <v>81</v>
      </c>
      <c r="F183" s="18" t="s">
        <v>363</v>
      </c>
      <c r="G183" s="10" t="s">
        <v>83</v>
      </c>
      <c r="H183" s="10" t="s">
        <v>20</v>
      </c>
      <c r="I183" s="11">
        <v>4</v>
      </c>
      <c r="J183" s="11">
        <v>4</v>
      </c>
      <c r="K183" s="11"/>
      <c r="L183"/>
      <c r="M183"/>
      <c r="N183"/>
      <c r="O183"/>
      <c r="P183"/>
      <c r="Q183"/>
      <c r="R183"/>
    </row>
    <row r="184" spans="1:18" s="2" customFormat="1" ht="41.4" x14ac:dyDescent="0.3">
      <c r="A184" s="24">
        <v>172</v>
      </c>
      <c r="B184" s="3">
        <v>21</v>
      </c>
      <c r="C184" s="4" t="s">
        <v>11</v>
      </c>
      <c r="D184" s="4" t="s">
        <v>324</v>
      </c>
      <c r="E184" s="18" t="s">
        <v>364</v>
      </c>
      <c r="F184" s="18" t="s">
        <v>365</v>
      </c>
      <c r="G184" s="10" t="s">
        <v>83</v>
      </c>
      <c r="H184" s="10" t="s">
        <v>20</v>
      </c>
      <c r="I184" s="11">
        <v>4</v>
      </c>
      <c r="J184" s="11">
        <v>4</v>
      </c>
      <c r="K184" s="11"/>
      <c r="L184"/>
      <c r="M184"/>
      <c r="N184"/>
      <c r="O184"/>
      <c r="P184"/>
      <c r="Q184"/>
      <c r="R184"/>
    </row>
    <row r="185" spans="1:18" s="2" customFormat="1" ht="41.4" x14ac:dyDescent="0.3">
      <c r="A185" s="24">
        <v>173</v>
      </c>
      <c r="B185" s="3">
        <v>22</v>
      </c>
      <c r="C185" s="4" t="s">
        <v>11</v>
      </c>
      <c r="D185" s="4" t="s">
        <v>324</v>
      </c>
      <c r="E185" s="18" t="s">
        <v>366</v>
      </c>
      <c r="F185" s="18" t="s">
        <v>367</v>
      </c>
      <c r="G185" s="10" t="s">
        <v>83</v>
      </c>
      <c r="H185" s="10" t="s">
        <v>20</v>
      </c>
      <c r="I185" s="11">
        <v>3</v>
      </c>
      <c r="J185" s="11">
        <v>3</v>
      </c>
      <c r="K185" s="11"/>
      <c r="L185"/>
      <c r="M185"/>
      <c r="N185"/>
      <c r="O185"/>
      <c r="P185"/>
      <c r="Q185"/>
      <c r="R185"/>
    </row>
    <row r="186" spans="1:18" s="2" customFormat="1" ht="41.4" x14ac:dyDescent="0.3">
      <c r="A186" s="24">
        <v>174</v>
      </c>
      <c r="B186" s="3">
        <v>23</v>
      </c>
      <c r="C186" s="4" t="s">
        <v>11</v>
      </c>
      <c r="D186" s="4" t="s">
        <v>324</v>
      </c>
      <c r="E186" s="18" t="s">
        <v>368</v>
      </c>
      <c r="F186" s="18" t="s">
        <v>369</v>
      </c>
      <c r="G186" s="10" t="s">
        <v>83</v>
      </c>
      <c r="H186" s="10" t="s">
        <v>20</v>
      </c>
      <c r="I186" s="11">
        <v>2</v>
      </c>
      <c r="J186" s="11">
        <v>2</v>
      </c>
      <c r="K186" s="11"/>
      <c r="L186"/>
      <c r="M186"/>
      <c r="N186"/>
      <c r="O186"/>
      <c r="P186"/>
      <c r="Q186"/>
      <c r="R186"/>
    </row>
    <row r="187" spans="1:18" s="2" customFormat="1" ht="41.4" x14ac:dyDescent="0.3">
      <c r="A187" s="24">
        <v>175</v>
      </c>
      <c r="B187" s="3">
        <v>24</v>
      </c>
      <c r="C187" s="4" t="s">
        <v>11</v>
      </c>
      <c r="D187" s="4" t="s">
        <v>324</v>
      </c>
      <c r="E187" s="18" t="s">
        <v>370</v>
      </c>
      <c r="F187" s="18" t="s">
        <v>371</v>
      </c>
      <c r="G187" s="10" t="s">
        <v>83</v>
      </c>
      <c r="H187" s="10" t="s">
        <v>20</v>
      </c>
      <c r="I187" s="11">
        <v>2</v>
      </c>
      <c r="J187" s="11">
        <v>2</v>
      </c>
      <c r="K187" s="11"/>
      <c r="L187"/>
      <c r="M187"/>
      <c r="N187"/>
      <c r="O187"/>
      <c r="P187"/>
      <c r="Q187"/>
      <c r="R187"/>
    </row>
    <row r="188" spans="1:18" s="2" customFormat="1" ht="30.6" x14ac:dyDescent="0.3">
      <c r="A188" s="24">
        <v>176</v>
      </c>
      <c r="B188" s="3">
        <v>25</v>
      </c>
      <c r="C188" s="4" t="s">
        <v>11</v>
      </c>
      <c r="D188" s="4" t="s">
        <v>324</v>
      </c>
      <c r="E188" s="18" t="s">
        <v>372</v>
      </c>
      <c r="F188" s="18" t="s">
        <v>373</v>
      </c>
      <c r="G188" s="10" t="s">
        <v>83</v>
      </c>
      <c r="H188" s="10" t="s">
        <v>20</v>
      </c>
      <c r="I188" s="11">
        <v>2</v>
      </c>
      <c r="J188" s="11">
        <v>2</v>
      </c>
      <c r="K188" s="11"/>
      <c r="L188"/>
      <c r="M188"/>
      <c r="N188"/>
      <c r="O188"/>
      <c r="P188"/>
      <c r="Q188"/>
      <c r="R188"/>
    </row>
    <row r="189" spans="1:18" s="2" customFormat="1" ht="30.6" x14ac:dyDescent="0.3">
      <c r="A189" s="24">
        <v>177</v>
      </c>
      <c r="B189" s="3">
        <v>26</v>
      </c>
      <c r="C189" s="4" t="s">
        <v>11</v>
      </c>
      <c r="D189" s="4" t="s">
        <v>324</v>
      </c>
      <c r="E189" s="18" t="s">
        <v>374</v>
      </c>
      <c r="F189" s="18" t="s">
        <v>375</v>
      </c>
      <c r="G189" s="10" t="s">
        <v>83</v>
      </c>
      <c r="H189" s="10" t="s">
        <v>20</v>
      </c>
      <c r="I189" s="11">
        <v>1</v>
      </c>
      <c r="J189" s="11">
        <v>1</v>
      </c>
      <c r="K189" s="11"/>
      <c r="L189"/>
      <c r="M189"/>
      <c r="N189"/>
      <c r="O189"/>
      <c r="P189"/>
      <c r="Q189"/>
      <c r="R189"/>
    </row>
    <row r="190" spans="1:18" s="2" customFormat="1" ht="30.6" x14ac:dyDescent="0.3">
      <c r="A190" s="24">
        <v>178</v>
      </c>
      <c r="B190" s="3">
        <v>27</v>
      </c>
      <c r="C190" s="4" t="s">
        <v>11</v>
      </c>
      <c r="D190" s="4" t="s">
        <v>324</v>
      </c>
      <c r="E190" s="18" t="s">
        <v>376</v>
      </c>
      <c r="F190" s="18" t="s">
        <v>377</v>
      </c>
      <c r="G190" s="10" t="s">
        <v>83</v>
      </c>
      <c r="H190" s="10" t="s">
        <v>20</v>
      </c>
      <c r="I190" s="11">
        <v>1</v>
      </c>
      <c r="J190" s="11">
        <v>1</v>
      </c>
      <c r="K190" s="11"/>
      <c r="L190"/>
      <c r="M190"/>
      <c r="N190"/>
      <c r="O190"/>
      <c r="P190"/>
      <c r="Q190"/>
      <c r="R190"/>
    </row>
    <row r="191" spans="1:18" s="2" customFormat="1" ht="41.4" x14ac:dyDescent="0.3">
      <c r="A191" s="24">
        <v>179</v>
      </c>
      <c r="B191" s="12">
        <v>1</v>
      </c>
      <c r="C191" s="4" t="s">
        <v>11</v>
      </c>
      <c r="D191" s="4" t="s">
        <v>378</v>
      </c>
      <c r="E191" s="14" t="s">
        <v>379</v>
      </c>
      <c r="F191" s="14" t="s">
        <v>380</v>
      </c>
      <c r="G191" s="6" t="s">
        <v>15</v>
      </c>
      <c r="H191" s="6" t="s">
        <v>16</v>
      </c>
      <c r="I191" s="8" t="s">
        <v>17</v>
      </c>
      <c r="J191" s="8" t="s">
        <v>17</v>
      </c>
      <c r="K191" s="8"/>
      <c r="L191"/>
      <c r="M191"/>
      <c r="N191"/>
      <c r="O191"/>
      <c r="P191"/>
      <c r="Q191"/>
      <c r="R191"/>
    </row>
    <row r="192" spans="1:18" s="2" customFormat="1" ht="41.4" x14ac:dyDescent="0.3">
      <c r="A192" s="24">
        <v>180</v>
      </c>
      <c r="B192" s="12">
        <v>2</v>
      </c>
      <c r="C192" s="4" t="s">
        <v>11</v>
      </c>
      <c r="D192" s="4" t="s">
        <v>378</v>
      </c>
      <c r="E192" s="14" t="s">
        <v>381</v>
      </c>
      <c r="F192" s="14" t="s">
        <v>382</v>
      </c>
      <c r="G192" s="6" t="s">
        <v>15</v>
      </c>
      <c r="H192" s="6" t="s">
        <v>16</v>
      </c>
      <c r="I192" s="8" t="s">
        <v>17</v>
      </c>
      <c r="J192" s="8" t="s">
        <v>17</v>
      </c>
      <c r="K192" s="8"/>
      <c r="L192"/>
      <c r="M192"/>
      <c r="N192"/>
      <c r="O192"/>
      <c r="P192"/>
      <c r="Q192"/>
      <c r="R192"/>
    </row>
    <row r="193" spans="1:18" s="2" customFormat="1" ht="41.4" x14ac:dyDescent="0.3">
      <c r="A193" s="24">
        <v>181</v>
      </c>
      <c r="B193" s="12">
        <v>3</v>
      </c>
      <c r="C193" s="4" t="s">
        <v>11</v>
      </c>
      <c r="D193" s="4" t="s">
        <v>378</v>
      </c>
      <c r="E193" s="14" t="s">
        <v>383</v>
      </c>
      <c r="F193" s="14" t="s">
        <v>384</v>
      </c>
      <c r="G193" s="6" t="s">
        <v>15</v>
      </c>
      <c r="H193" s="6" t="s">
        <v>16</v>
      </c>
      <c r="I193" s="8" t="s">
        <v>17</v>
      </c>
      <c r="J193" s="8" t="s">
        <v>17</v>
      </c>
      <c r="K193" s="8"/>
      <c r="L193"/>
      <c r="M193"/>
      <c r="N193"/>
      <c r="O193"/>
      <c r="P193"/>
      <c r="Q193"/>
      <c r="R193"/>
    </row>
    <row r="194" spans="1:18" s="2" customFormat="1" ht="41.4" x14ac:dyDescent="0.3">
      <c r="A194" s="24">
        <v>182</v>
      </c>
      <c r="B194" s="12">
        <v>4</v>
      </c>
      <c r="C194" s="4" t="s">
        <v>11</v>
      </c>
      <c r="D194" s="4" t="s">
        <v>378</v>
      </c>
      <c r="E194" s="14" t="s">
        <v>385</v>
      </c>
      <c r="F194" s="14" t="s">
        <v>386</v>
      </c>
      <c r="G194" s="6" t="s">
        <v>15</v>
      </c>
      <c r="H194" s="6" t="s">
        <v>16</v>
      </c>
      <c r="I194" s="8" t="s">
        <v>17</v>
      </c>
      <c r="J194" s="8" t="s">
        <v>17</v>
      </c>
      <c r="K194" s="8"/>
      <c r="L194"/>
      <c r="M194"/>
      <c r="N194"/>
      <c r="O194"/>
      <c r="P194"/>
      <c r="Q194"/>
      <c r="R194"/>
    </row>
    <row r="195" spans="1:18" s="2" customFormat="1" ht="41.4" x14ac:dyDescent="0.3">
      <c r="A195" s="24">
        <v>183</v>
      </c>
      <c r="B195" s="12">
        <v>5</v>
      </c>
      <c r="C195" s="4" t="s">
        <v>11</v>
      </c>
      <c r="D195" s="4" t="s">
        <v>378</v>
      </c>
      <c r="E195" s="14" t="s">
        <v>387</v>
      </c>
      <c r="F195" s="14" t="s">
        <v>388</v>
      </c>
      <c r="G195" s="6" t="s">
        <v>15</v>
      </c>
      <c r="H195" s="6" t="s">
        <v>16</v>
      </c>
      <c r="I195" s="8" t="s">
        <v>17</v>
      </c>
      <c r="J195" s="8" t="s">
        <v>17</v>
      </c>
      <c r="K195" s="8"/>
      <c r="L195"/>
      <c r="M195"/>
      <c r="N195"/>
      <c r="O195"/>
      <c r="P195"/>
      <c r="Q195"/>
      <c r="R195"/>
    </row>
    <row r="196" spans="1:18" s="2" customFormat="1" ht="55.2" x14ac:dyDescent="0.3">
      <c r="A196" s="24">
        <v>184</v>
      </c>
      <c r="B196" s="12">
        <v>6</v>
      </c>
      <c r="C196" s="4" t="s">
        <v>11</v>
      </c>
      <c r="D196" s="4" t="s">
        <v>378</v>
      </c>
      <c r="E196" s="15" t="s">
        <v>389</v>
      </c>
      <c r="F196" s="15" t="s">
        <v>390</v>
      </c>
      <c r="G196" s="16" t="s">
        <v>127</v>
      </c>
      <c r="H196" s="16" t="s">
        <v>16</v>
      </c>
      <c r="I196" s="17" t="s">
        <v>17</v>
      </c>
      <c r="J196" s="17" t="s">
        <v>17</v>
      </c>
      <c r="K196" s="17"/>
      <c r="L196"/>
      <c r="M196"/>
      <c r="N196"/>
      <c r="O196"/>
      <c r="P196"/>
      <c r="Q196"/>
      <c r="R196"/>
    </row>
    <row r="197" spans="1:18" s="2" customFormat="1" ht="41.4" x14ac:dyDescent="0.3">
      <c r="A197" s="24">
        <v>185</v>
      </c>
      <c r="B197" s="12">
        <v>7</v>
      </c>
      <c r="C197" s="4" t="s">
        <v>11</v>
      </c>
      <c r="D197" s="4" t="s">
        <v>378</v>
      </c>
      <c r="E197" s="14" t="s">
        <v>391</v>
      </c>
      <c r="F197" s="14" t="s">
        <v>392</v>
      </c>
      <c r="G197" s="6" t="s">
        <v>15</v>
      </c>
      <c r="H197" s="6" t="s">
        <v>20</v>
      </c>
      <c r="I197" s="8">
        <v>5</v>
      </c>
      <c r="J197" s="8">
        <v>5</v>
      </c>
      <c r="K197" s="8"/>
      <c r="L197"/>
      <c r="M197"/>
      <c r="N197"/>
      <c r="O197"/>
      <c r="P197"/>
      <c r="Q197"/>
      <c r="R197"/>
    </row>
    <row r="198" spans="1:18" s="2" customFormat="1" ht="41.4" x14ac:dyDescent="0.3">
      <c r="A198" s="24">
        <v>186</v>
      </c>
      <c r="B198" s="12">
        <v>8</v>
      </c>
      <c r="C198" s="4" t="s">
        <v>11</v>
      </c>
      <c r="D198" s="4" t="s">
        <v>378</v>
      </c>
      <c r="E198" s="14" t="s">
        <v>393</v>
      </c>
      <c r="F198" s="14" t="s">
        <v>394</v>
      </c>
      <c r="G198" s="6" t="s">
        <v>15</v>
      </c>
      <c r="H198" s="6" t="s">
        <v>20</v>
      </c>
      <c r="I198" s="8">
        <v>5</v>
      </c>
      <c r="J198" s="8">
        <v>5</v>
      </c>
      <c r="K198" s="8"/>
      <c r="L198"/>
      <c r="M198"/>
      <c r="N198"/>
      <c r="O198"/>
      <c r="P198"/>
      <c r="Q198"/>
      <c r="R198"/>
    </row>
    <row r="199" spans="1:18" s="2" customFormat="1" ht="41.4" x14ac:dyDescent="0.3">
      <c r="A199" s="24">
        <v>187</v>
      </c>
      <c r="B199" s="12">
        <v>9</v>
      </c>
      <c r="C199" s="4" t="s">
        <v>11</v>
      </c>
      <c r="D199" s="4" t="s">
        <v>378</v>
      </c>
      <c r="E199" s="14" t="s">
        <v>395</v>
      </c>
      <c r="F199" s="14" t="s">
        <v>396</v>
      </c>
      <c r="G199" s="6" t="s">
        <v>15</v>
      </c>
      <c r="H199" s="6" t="s">
        <v>20</v>
      </c>
      <c r="I199" s="8">
        <v>4</v>
      </c>
      <c r="J199" s="8">
        <v>4</v>
      </c>
      <c r="K199" s="8"/>
      <c r="L199"/>
      <c r="M199"/>
      <c r="N199"/>
      <c r="O199"/>
      <c r="P199"/>
      <c r="Q199"/>
      <c r="R199"/>
    </row>
    <row r="200" spans="1:18" s="2" customFormat="1" ht="41.4" x14ac:dyDescent="0.3">
      <c r="A200" s="24">
        <v>188</v>
      </c>
      <c r="B200" s="12">
        <v>10</v>
      </c>
      <c r="C200" s="4" t="s">
        <v>11</v>
      </c>
      <c r="D200" s="4" t="s">
        <v>378</v>
      </c>
      <c r="E200" s="14" t="s">
        <v>397</v>
      </c>
      <c r="F200" s="14" t="s">
        <v>398</v>
      </c>
      <c r="G200" s="6" t="s">
        <v>15</v>
      </c>
      <c r="H200" s="6" t="s">
        <v>20</v>
      </c>
      <c r="I200" s="8">
        <v>4</v>
      </c>
      <c r="J200" s="8">
        <v>4</v>
      </c>
      <c r="K200" s="8"/>
      <c r="L200"/>
      <c r="M200"/>
      <c r="N200"/>
      <c r="O200"/>
      <c r="P200"/>
      <c r="Q200"/>
      <c r="R200"/>
    </row>
    <row r="201" spans="1:18" s="2" customFormat="1" ht="41.4" x14ac:dyDescent="0.3">
      <c r="A201" s="24">
        <v>189</v>
      </c>
      <c r="B201" s="12">
        <v>11</v>
      </c>
      <c r="C201" s="4" t="s">
        <v>11</v>
      </c>
      <c r="D201" s="4" t="s">
        <v>378</v>
      </c>
      <c r="E201" s="14" t="s">
        <v>399</v>
      </c>
      <c r="F201" s="14" t="s">
        <v>400</v>
      </c>
      <c r="G201" s="6" t="s">
        <v>15</v>
      </c>
      <c r="H201" s="6" t="s">
        <v>20</v>
      </c>
      <c r="I201" s="8">
        <v>4</v>
      </c>
      <c r="J201" s="8">
        <v>4</v>
      </c>
      <c r="K201" s="8"/>
      <c r="L201"/>
      <c r="M201"/>
      <c r="N201"/>
      <c r="O201"/>
      <c r="P201"/>
      <c r="Q201"/>
      <c r="R201"/>
    </row>
    <row r="202" spans="1:18" s="2" customFormat="1" ht="41.4" x14ac:dyDescent="0.3">
      <c r="A202" s="24">
        <v>190</v>
      </c>
      <c r="B202" s="12">
        <v>12</v>
      </c>
      <c r="C202" s="4" t="s">
        <v>11</v>
      </c>
      <c r="D202" s="4" t="s">
        <v>378</v>
      </c>
      <c r="E202" s="14" t="s">
        <v>401</v>
      </c>
      <c r="F202" s="14" t="s">
        <v>402</v>
      </c>
      <c r="G202" s="6" t="s">
        <v>15</v>
      </c>
      <c r="H202" s="6" t="s">
        <v>20</v>
      </c>
      <c r="I202" s="8">
        <v>2</v>
      </c>
      <c r="J202" s="8">
        <v>2</v>
      </c>
      <c r="K202" s="8"/>
      <c r="L202"/>
      <c r="M202"/>
      <c r="N202"/>
      <c r="O202"/>
      <c r="P202"/>
      <c r="Q202"/>
      <c r="R202"/>
    </row>
    <row r="203" spans="1:18" s="2" customFormat="1" ht="41.4" x14ac:dyDescent="0.3">
      <c r="A203" s="24">
        <v>191</v>
      </c>
      <c r="B203" s="12">
        <v>13</v>
      </c>
      <c r="C203" s="4" t="s">
        <v>11</v>
      </c>
      <c r="D203" s="4" t="s">
        <v>378</v>
      </c>
      <c r="E203" s="14" t="s">
        <v>403</v>
      </c>
      <c r="F203" s="14" t="s">
        <v>404</v>
      </c>
      <c r="G203" s="6" t="s">
        <v>15</v>
      </c>
      <c r="H203" s="6" t="s">
        <v>20</v>
      </c>
      <c r="I203" s="8">
        <v>1</v>
      </c>
      <c r="J203" s="8">
        <v>1</v>
      </c>
      <c r="K203" s="8"/>
      <c r="L203"/>
      <c r="M203"/>
      <c r="N203"/>
      <c r="O203"/>
      <c r="P203"/>
      <c r="Q203"/>
      <c r="R203"/>
    </row>
    <row r="204" spans="1:18" s="2" customFormat="1" ht="41.4" x14ac:dyDescent="0.3">
      <c r="A204" s="24">
        <v>192</v>
      </c>
      <c r="B204" s="12">
        <v>14</v>
      </c>
      <c r="C204" s="4" t="s">
        <v>11</v>
      </c>
      <c r="D204" s="4" t="s">
        <v>378</v>
      </c>
      <c r="E204" s="14" t="s">
        <v>405</v>
      </c>
      <c r="F204" s="14" t="s">
        <v>406</v>
      </c>
      <c r="G204" s="6" t="s">
        <v>15</v>
      </c>
      <c r="H204" s="6" t="s">
        <v>20</v>
      </c>
      <c r="I204" s="8">
        <v>1</v>
      </c>
      <c r="J204" s="8">
        <v>1</v>
      </c>
      <c r="K204" s="8"/>
      <c r="L204"/>
      <c r="M204"/>
      <c r="N204"/>
      <c r="O204"/>
      <c r="P204"/>
      <c r="Q204"/>
      <c r="R204"/>
    </row>
    <row r="205" spans="1:18" s="2" customFormat="1" ht="41.4" x14ac:dyDescent="0.3">
      <c r="A205" s="24">
        <v>193</v>
      </c>
      <c r="B205" s="12">
        <v>15</v>
      </c>
      <c r="C205" s="4" t="s">
        <v>11</v>
      </c>
      <c r="D205" s="4" t="s">
        <v>378</v>
      </c>
      <c r="E205" s="15" t="s">
        <v>407</v>
      </c>
      <c r="F205" s="15" t="s">
        <v>408</v>
      </c>
      <c r="G205" s="16" t="s">
        <v>127</v>
      </c>
      <c r="H205" s="16" t="s">
        <v>20</v>
      </c>
      <c r="I205" s="17">
        <v>4</v>
      </c>
      <c r="J205" s="17">
        <v>4</v>
      </c>
      <c r="K205" s="17"/>
      <c r="L205"/>
      <c r="M205"/>
      <c r="N205"/>
      <c r="O205"/>
      <c r="P205"/>
      <c r="Q205"/>
      <c r="R205"/>
    </row>
    <row r="206" spans="1:18" s="2" customFormat="1" ht="41.4" x14ac:dyDescent="0.3">
      <c r="A206" s="24">
        <v>194</v>
      </c>
      <c r="B206" s="12">
        <v>16</v>
      </c>
      <c r="C206" s="4" t="s">
        <v>11</v>
      </c>
      <c r="D206" s="4" t="s">
        <v>378</v>
      </c>
      <c r="E206" s="15" t="s">
        <v>409</v>
      </c>
      <c r="F206" s="15" t="s">
        <v>410</v>
      </c>
      <c r="G206" s="16" t="s">
        <v>127</v>
      </c>
      <c r="H206" s="16" t="s">
        <v>20</v>
      </c>
      <c r="I206" s="17">
        <v>4</v>
      </c>
      <c r="J206" s="17">
        <v>4</v>
      </c>
      <c r="K206" s="17"/>
      <c r="L206"/>
      <c r="M206"/>
      <c r="N206"/>
      <c r="O206"/>
      <c r="P206"/>
      <c r="Q206"/>
      <c r="R206"/>
    </row>
    <row r="207" spans="1:18" s="2" customFormat="1" ht="41.4" x14ac:dyDescent="0.3">
      <c r="A207" s="24">
        <v>195</v>
      </c>
      <c r="B207" s="12">
        <v>17</v>
      </c>
      <c r="C207" s="4" t="s">
        <v>11</v>
      </c>
      <c r="D207" s="4" t="s">
        <v>378</v>
      </c>
      <c r="E207" s="15" t="s">
        <v>411</v>
      </c>
      <c r="F207" s="15" t="s">
        <v>412</v>
      </c>
      <c r="G207" s="16" t="s">
        <v>127</v>
      </c>
      <c r="H207" s="16" t="s">
        <v>20</v>
      </c>
      <c r="I207" s="17">
        <v>3</v>
      </c>
      <c r="J207" s="17">
        <v>3</v>
      </c>
      <c r="K207" s="17"/>
      <c r="L207"/>
      <c r="M207"/>
      <c r="N207"/>
      <c r="O207"/>
      <c r="P207"/>
      <c r="Q207"/>
      <c r="R207"/>
    </row>
    <row r="208" spans="1:18" s="2" customFormat="1" ht="41.4" x14ac:dyDescent="0.3">
      <c r="A208" s="24">
        <v>196</v>
      </c>
      <c r="B208" s="12">
        <v>18</v>
      </c>
      <c r="C208" s="4" t="s">
        <v>11</v>
      </c>
      <c r="D208" s="4" t="s">
        <v>378</v>
      </c>
      <c r="E208" s="18" t="s">
        <v>413</v>
      </c>
      <c r="F208" s="18" t="s">
        <v>414</v>
      </c>
      <c r="G208" s="10" t="s">
        <v>83</v>
      </c>
      <c r="H208" s="10" t="s">
        <v>20</v>
      </c>
      <c r="I208" s="11">
        <v>5</v>
      </c>
      <c r="J208" s="11">
        <v>5</v>
      </c>
      <c r="K208" s="11"/>
      <c r="L208"/>
      <c r="M208"/>
      <c r="N208"/>
      <c r="O208"/>
      <c r="P208"/>
      <c r="Q208"/>
      <c r="R208"/>
    </row>
    <row r="209" spans="1:18" s="2" customFormat="1" ht="41.4" x14ac:dyDescent="0.3">
      <c r="A209" s="24">
        <v>197</v>
      </c>
      <c r="B209" s="12">
        <v>19</v>
      </c>
      <c r="C209" s="4" t="s">
        <v>11</v>
      </c>
      <c r="D209" s="4" t="s">
        <v>378</v>
      </c>
      <c r="E209" s="18" t="s">
        <v>415</v>
      </c>
      <c r="F209" s="18" t="s">
        <v>416</v>
      </c>
      <c r="G209" s="10" t="s">
        <v>83</v>
      </c>
      <c r="H209" s="10" t="s">
        <v>20</v>
      </c>
      <c r="I209" s="11">
        <v>5</v>
      </c>
      <c r="J209" s="11">
        <v>5</v>
      </c>
      <c r="K209" s="11"/>
      <c r="L209"/>
      <c r="M209"/>
      <c r="N209"/>
      <c r="O209"/>
      <c r="P209"/>
      <c r="Q209"/>
      <c r="R209"/>
    </row>
    <row r="210" spans="1:18" s="2" customFormat="1" ht="41.4" x14ac:dyDescent="0.3">
      <c r="A210" s="24">
        <v>198</v>
      </c>
      <c r="B210" s="12">
        <v>20</v>
      </c>
      <c r="C210" s="4" t="s">
        <v>11</v>
      </c>
      <c r="D210" s="4" t="s">
        <v>378</v>
      </c>
      <c r="E210" s="18" t="s">
        <v>417</v>
      </c>
      <c r="F210" s="18" t="s">
        <v>418</v>
      </c>
      <c r="G210" s="10" t="s">
        <v>83</v>
      </c>
      <c r="H210" s="10" t="s">
        <v>20</v>
      </c>
      <c r="I210" s="11">
        <v>5</v>
      </c>
      <c r="J210" s="11">
        <v>5</v>
      </c>
      <c r="K210" s="11"/>
      <c r="L210"/>
      <c r="M210"/>
      <c r="N210"/>
      <c r="O210"/>
      <c r="P210"/>
      <c r="Q210"/>
      <c r="R210"/>
    </row>
    <row r="211" spans="1:18" s="2" customFormat="1" ht="41.4" x14ac:dyDescent="0.3">
      <c r="A211" s="24">
        <v>199</v>
      </c>
      <c r="B211" s="12">
        <v>21</v>
      </c>
      <c r="C211" s="4" t="s">
        <v>11</v>
      </c>
      <c r="D211" s="4" t="s">
        <v>378</v>
      </c>
      <c r="E211" s="18" t="s">
        <v>419</v>
      </c>
      <c r="F211" s="18" t="s">
        <v>420</v>
      </c>
      <c r="G211" s="10" t="s">
        <v>83</v>
      </c>
      <c r="H211" s="10" t="s">
        <v>20</v>
      </c>
      <c r="I211" s="11">
        <v>5</v>
      </c>
      <c r="J211" s="11">
        <v>5</v>
      </c>
      <c r="K211" s="11"/>
      <c r="L211"/>
      <c r="M211"/>
      <c r="N211"/>
      <c r="O211"/>
      <c r="P211"/>
      <c r="Q211"/>
      <c r="R211"/>
    </row>
    <row r="212" spans="1:18" s="2" customFormat="1" ht="41.4" x14ac:dyDescent="0.3">
      <c r="A212" s="24">
        <v>200</v>
      </c>
      <c r="B212" s="12">
        <v>22</v>
      </c>
      <c r="C212" s="4" t="s">
        <v>11</v>
      </c>
      <c r="D212" s="4" t="s">
        <v>378</v>
      </c>
      <c r="E212" s="18" t="s">
        <v>421</v>
      </c>
      <c r="F212" s="18" t="s">
        <v>422</v>
      </c>
      <c r="G212" s="10" t="s">
        <v>83</v>
      </c>
      <c r="H212" s="10" t="s">
        <v>20</v>
      </c>
      <c r="I212" s="11">
        <v>5</v>
      </c>
      <c r="J212" s="11">
        <v>5</v>
      </c>
      <c r="K212" s="11"/>
      <c r="L212"/>
      <c r="M212"/>
      <c r="N212"/>
      <c r="O212"/>
      <c r="P212"/>
      <c r="Q212"/>
      <c r="R212"/>
    </row>
    <row r="213" spans="1:18" s="2" customFormat="1" ht="41.4" x14ac:dyDescent="0.3">
      <c r="A213" s="24">
        <v>201</v>
      </c>
      <c r="B213" s="12">
        <v>23</v>
      </c>
      <c r="C213" s="4" t="s">
        <v>11</v>
      </c>
      <c r="D213" s="4" t="s">
        <v>378</v>
      </c>
      <c r="E213" s="18" t="s">
        <v>423</v>
      </c>
      <c r="F213" s="18" t="s">
        <v>424</v>
      </c>
      <c r="G213" s="10" t="s">
        <v>83</v>
      </c>
      <c r="H213" s="10" t="s">
        <v>20</v>
      </c>
      <c r="I213" s="11">
        <v>4</v>
      </c>
      <c r="J213" s="11">
        <v>4</v>
      </c>
      <c r="K213" s="11"/>
      <c r="L213"/>
      <c r="M213"/>
      <c r="N213"/>
      <c r="O213"/>
      <c r="P213"/>
      <c r="Q213"/>
      <c r="R213"/>
    </row>
    <row r="214" spans="1:18" s="2" customFormat="1" ht="41.4" x14ac:dyDescent="0.3">
      <c r="A214" s="24">
        <v>202</v>
      </c>
      <c r="B214" s="12">
        <v>24</v>
      </c>
      <c r="C214" s="4" t="s">
        <v>11</v>
      </c>
      <c r="D214" s="4" t="s">
        <v>378</v>
      </c>
      <c r="E214" s="18" t="s">
        <v>425</v>
      </c>
      <c r="F214" s="18" t="s">
        <v>426</v>
      </c>
      <c r="G214" s="10" t="s">
        <v>83</v>
      </c>
      <c r="H214" s="10" t="s">
        <v>20</v>
      </c>
      <c r="I214" s="11">
        <v>4</v>
      </c>
      <c r="J214" s="11">
        <v>4</v>
      </c>
      <c r="K214" s="11"/>
      <c r="L214"/>
      <c r="M214"/>
      <c r="N214"/>
      <c r="O214"/>
      <c r="P214"/>
      <c r="Q214"/>
      <c r="R214"/>
    </row>
    <row r="215" spans="1:18" s="2" customFormat="1" ht="41.4" x14ac:dyDescent="0.3">
      <c r="A215" s="24">
        <v>203</v>
      </c>
      <c r="B215" s="12">
        <v>25</v>
      </c>
      <c r="C215" s="4" t="s">
        <v>11</v>
      </c>
      <c r="D215" s="4" t="s">
        <v>378</v>
      </c>
      <c r="E215" s="18" t="s">
        <v>427</v>
      </c>
      <c r="F215" s="18" t="s">
        <v>428</v>
      </c>
      <c r="G215" s="10" t="s">
        <v>83</v>
      </c>
      <c r="H215" s="10" t="s">
        <v>20</v>
      </c>
      <c r="I215" s="11">
        <v>4</v>
      </c>
      <c r="J215" s="11">
        <v>4</v>
      </c>
      <c r="K215" s="11"/>
      <c r="L215"/>
      <c r="M215"/>
      <c r="N215"/>
      <c r="O215"/>
      <c r="P215"/>
      <c r="Q215"/>
      <c r="R215"/>
    </row>
    <row r="216" spans="1:18" s="2" customFormat="1" ht="41.4" x14ac:dyDescent="0.3">
      <c r="A216" s="24">
        <v>204</v>
      </c>
      <c r="B216" s="12">
        <v>26</v>
      </c>
      <c r="C216" s="4" t="s">
        <v>11</v>
      </c>
      <c r="D216" s="4" t="s">
        <v>378</v>
      </c>
      <c r="E216" s="18" t="s">
        <v>429</v>
      </c>
      <c r="F216" s="18" t="s">
        <v>430</v>
      </c>
      <c r="G216" s="10" t="s">
        <v>83</v>
      </c>
      <c r="H216" s="10" t="s">
        <v>20</v>
      </c>
      <c r="I216" s="11">
        <v>4</v>
      </c>
      <c r="J216" s="11">
        <v>4</v>
      </c>
      <c r="K216" s="11"/>
      <c r="L216"/>
      <c r="M216"/>
      <c r="N216"/>
      <c r="O216"/>
      <c r="P216"/>
      <c r="Q216"/>
      <c r="R216"/>
    </row>
    <row r="217" spans="1:18" s="2" customFormat="1" ht="41.4" x14ac:dyDescent="0.3">
      <c r="A217" s="24">
        <v>205</v>
      </c>
      <c r="B217" s="12">
        <v>27</v>
      </c>
      <c r="C217" s="4" t="s">
        <v>11</v>
      </c>
      <c r="D217" s="4" t="s">
        <v>378</v>
      </c>
      <c r="E217" s="18" t="s">
        <v>431</v>
      </c>
      <c r="F217" s="18" t="s">
        <v>432</v>
      </c>
      <c r="G217" s="10" t="s">
        <v>83</v>
      </c>
      <c r="H217" s="10" t="s">
        <v>20</v>
      </c>
      <c r="I217" s="11">
        <v>4</v>
      </c>
      <c r="J217" s="11">
        <v>4</v>
      </c>
      <c r="K217" s="11"/>
      <c r="L217"/>
      <c r="M217"/>
      <c r="N217"/>
      <c r="O217"/>
      <c r="P217"/>
      <c r="Q217"/>
      <c r="R217"/>
    </row>
    <row r="218" spans="1:18" s="2" customFormat="1" ht="41.4" x14ac:dyDescent="0.3">
      <c r="A218" s="24">
        <v>206</v>
      </c>
      <c r="B218" s="12">
        <v>28</v>
      </c>
      <c r="C218" s="4" t="s">
        <v>11</v>
      </c>
      <c r="D218" s="4" t="s">
        <v>378</v>
      </c>
      <c r="E218" s="18" t="s">
        <v>433</v>
      </c>
      <c r="F218" s="18" t="s">
        <v>434</v>
      </c>
      <c r="G218" s="10" t="s">
        <v>83</v>
      </c>
      <c r="H218" s="10" t="s">
        <v>20</v>
      </c>
      <c r="I218" s="11">
        <v>4</v>
      </c>
      <c r="J218" s="11">
        <v>4</v>
      </c>
      <c r="K218" s="11"/>
      <c r="L218"/>
      <c r="M218"/>
      <c r="N218"/>
      <c r="O218"/>
      <c r="P218"/>
      <c r="Q218"/>
      <c r="R218"/>
    </row>
    <row r="219" spans="1:18" s="2" customFormat="1" ht="41.4" x14ac:dyDescent="0.3">
      <c r="A219" s="24">
        <v>207</v>
      </c>
      <c r="B219" s="12">
        <v>29</v>
      </c>
      <c r="C219" s="4" t="s">
        <v>11</v>
      </c>
      <c r="D219" s="4" t="s">
        <v>378</v>
      </c>
      <c r="E219" s="18" t="s">
        <v>435</v>
      </c>
      <c r="F219" s="18" t="s">
        <v>436</v>
      </c>
      <c r="G219" s="10" t="s">
        <v>83</v>
      </c>
      <c r="H219" s="10" t="s">
        <v>20</v>
      </c>
      <c r="I219" s="11">
        <v>3</v>
      </c>
      <c r="J219" s="11">
        <v>3</v>
      </c>
      <c r="K219" s="11"/>
      <c r="L219"/>
      <c r="M219"/>
      <c r="N219"/>
      <c r="O219"/>
      <c r="P219"/>
      <c r="Q219"/>
      <c r="R219"/>
    </row>
    <row r="220" spans="1:18" s="2" customFormat="1" ht="41.4" x14ac:dyDescent="0.3">
      <c r="A220" s="24">
        <v>208</v>
      </c>
      <c r="B220" s="12">
        <v>30</v>
      </c>
      <c r="C220" s="4" t="s">
        <v>11</v>
      </c>
      <c r="D220" s="4" t="s">
        <v>378</v>
      </c>
      <c r="E220" s="18" t="s">
        <v>437</v>
      </c>
      <c r="F220" s="18" t="s">
        <v>438</v>
      </c>
      <c r="G220" s="10" t="s">
        <v>83</v>
      </c>
      <c r="H220" s="10" t="s">
        <v>20</v>
      </c>
      <c r="I220" s="11">
        <v>3</v>
      </c>
      <c r="J220" s="11">
        <v>3</v>
      </c>
      <c r="K220" s="11"/>
      <c r="L220"/>
      <c r="M220"/>
      <c r="N220"/>
      <c r="O220"/>
      <c r="P220"/>
      <c r="Q220"/>
      <c r="R220"/>
    </row>
    <row r="221" spans="1:18" s="2" customFormat="1" ht="41.4" x14ac:dyDescent="0.3">
      <c r="A221" s="24">
        <v>209</v>
      </c>
      <c r="B221" s="12">
        <v>31</v>
      </c>
      <c r="C221" s="4" t="s">
        <v>11</v>
      </c>
      <c r="D221" s="4" t="s">
        <v>378</v>
      </c>
      <c r="E221" s="18" t="s">
        <v>439</v>
      </c>
      <c r="F221" s="18" t="s">
        <v>440</v>
      </c>
      <c r="G221" s="10" t="s">
        <v>83</v>
      </c>
      <c r="H221" s="10" t="s">
        <v>20</v>
      </c>
      <c r="I221" s="11">
        <v>2</v>
      </c>
      <c r="J221" s="11">
        <v>2</v>
      </c>
      <c r="K221" s="11"/>
      <c r="L221"/>
      <c r="M221"/>
      <c r="N221"/>
      <c r="O221"/>
      <c r="P221"/>
      <c r="Q221"/>
      <c r="R221"/>
    </row>
    <row r="222" spans="1:18" s="2" customFormat="1" ht="41.4" x14ac:dyDescent="0.3">
      <c r="A222" s="24">
        <v>210</v>
      </c>
      <c r="B222" s="12">
        <v>32</v>
      </c>
      <c r="C222" s="4" t="s">
        <v>11</v>
      </c>
      <c r="D222" s="4" t="s">
        <v>378</v>
      </c>
      <c r="E222" s="18" t="s">
        <v>441</v>
      </c>
      <c r="F222" s="18" t="s">
        <v>442</v>
      </c>
      <c r="G222" s="10" t="s">
        <v>83</v>
      </c>
      <c r="H222" s="10" t="s">
        <v>20</v>
      </c>
      <c r="I222" s="11">
        <v>2</v>
      </c>
      <c r="J222" s="11">
        <v>2</v>
      </c>
      <c r="K222" s="11"/>
      <c r="L222"/>
      <c r="M222"/>
      <c r="N222"/>
      <c r="O222"/>
      <c r="P222"/>
      <c r="Q222"/>
      <c r="R222"/>
    </row>
    <row r="223" spans="1:18" s="2" customFormat="1" ht="41.4" x14ac:dyDescent="0.3">
      <c r="A223" s="24">
        <v>211</v>
      </c>
      <c r="B223" s="12">
        <v>33</v>
      </c>
      <c r="C223" s="4" t="s">
        <v>11</v>
      </c>
      <c r="D223" s="4" t="s">
        <v>378</v>
      </c>
      <c r="E223" s="18" t="s">
        <v>443</v>
      </c>
      <c r="F223" s="18" t="s">
        <v>444</v>
      </c>
      <c r="G223" s="10" t="s">
        <v>83</v>
      </c>
      <c r="H223" s="10" t="s">
        <v>20</v>
      </c>
      <c r="I223" s="11">
        <v>1</v>
      </c>
      <c r="J223" s="11">
        <v>1</v>
      </c>
      <c r="K223" s="11"/>
      <c r="L223"/>
      <c r="M223"/>
      <c r="N223"/>
      <c r="O223"/>
      <c r="P223"/>
      <c r="Q223"/>
      <c r="R223"/>
    </row>
    <row r="224" spans="1:18" s="2" customFormat="1" ht="41.4" x14ac:dyDescent="0.3">
      <c r="A224" s="24">
        <v>212</v>
      </c>
      <c r="B224" s="12">
        <v>34</v>
      </c>
      <c r="C224" s="4" t="s">
        <v>11</v>
      </c>
      <c r="D224" s="4" t="s">
        <v>378</v>
      </c>
      <c r="E224" s="18" t="s">
        <v>445</v>
      </c>
      <c r="F224" s="18" t="s">
        <v>446</v>
      </c>
      <c r="G224" s="10" t="s">
        <v>83</v>
      </c>
      <c r="H224" s="10" t="s">
        <v>20</v>
      </c>
      <c r="I224" s="11">
        <v>1</v>
      </c>
      <c r="J224" s="11">
        <v>1</v>
      </c>
      <c r="K224" s="11"/>
      <c r="L224"/>
      <c r="M224"/>
      <c r="N224"/>
      <c r="O224"/>
      <c r="P224"/>
      <c r="Q224"/>
      <c r="R224"/>
    </row>
    <row r="225" spans="1:18" s="2" customFormat="1" ht="41.4" x14ac:dyDescent="0.3">
      <c r="A225" s="24">
        <v>213</v>
      </c>
      <c r="B225" s="12">
        <v>35</v>
      </c>
      <c r="C225" s="4" t="s">
        <v>11</v>
      </c>
      <c r="D225" s="4" t="s">
        <v>378</v>
      </c>
      <c r="E225" s="18" t="s">
        <v>447</v>
      </c>
      <c r="F225" s="18" t="s">
        <v>448</v>
      </c>
      <c r="G225" s="10" t="s">
        <v>83</v>
      </c>
      <c r="H225" s="10" t="s">
        <v>20</v>
      </c>
      <c r="I225" s="11">
        <v>1</v>
      </c>
      <c r="J225" s="11">
        <v>1</v>
      </c>
      <c r="K225" s="11"/>
      <c r="L225"/>
      <c r="M225"/>
      <c r="N225"/>
      <c r="O225"/>
      <c r="P225"/>
      <c r="Q225"/>
      <c r="R225"/>
    </row>
    <row r="226" spans="1:18" s="2" customFormat="1" ht="41.4" x14ac:dyDescent="0.3">
      <c r="A226" s="24">
        <v>214</v>
      </c>
      <c r="B226" s="12">
        <v>36</v>
      </c>
      <c r="C226" s="4" t="s">
        <v>11</v>
      </c>
      <c r="D226" s="4" t="s">
        <v>378</v>
      </c>
      <c r="E226" s="18" t="s">
        <v>449</v>
      </c>
      <c r="F226" s="18" t="s">
        <v>450</v>
      </c>
      <c r="G226" s="10" t="s">
        <v>83</v>
      </c>
      <c r="H226" s="10" t="s">
        <v>20</v>
      </c>
      <c r="I226" s="11">
        <v>1</v>
      </c>
      <c r="J226" s="11">
        <v>1</v>
      </c>
      <c r="K226" s="11"/>
      <c r="L226"/>
      <c r="M226"/>
      <c r="N226"/>
      <c r="O226"/>
      <c r="P226"/>
      <c r="Q226"/>
      <c r="R226"/>
    </row>
    <row r="227" spans="1:18" s="2" customFormat="1" ht="55.2" x14ac:dyDescent="0.3">
      <c r="A227" s="24">
        <v>215</v>
      </c>
      <c r="B227" s="3">
        <v>1</v>
      </c>
      <c r="C227" s="4" t="s">
        <v>11</v>
      </c>
      <c r="D227" s="4" t="s">
        <v>451</v>
      </c>
      <c r="E227" s="15" t="s">
        <v>452</v>
      </c>
      <c r="F227" s="15" t="s">
        <v>453</v>
      </c>
      <c r="G227" s="16" t="s">
        <v>127</v>
      </c>
      <c r="H227" s="16" t="s">
        <v>16</v>
      </c>
      <c r="I227" s="17" t="s">
        <v>17</v>
      </c>
      <c r="J227" s="17" t="s">
        <v>17</v>
      </c>
      <c r="K227" s="17"/>
      <c r="L227"/>
      <c r="M227"/>
      <c r="N227"/>
      <c r="O227"/>
      <c r="P227"/>
      <c r="Q227"/>
      <c r="R227"/>
    </row>
    <row r="228" spans="1:18" s="2" customFormat="1" ht="55.2" x14ac:dyDescent="0.3">
      <c r="A228" s="24">
        <v>216</v>
      </c>
      <c r="B228" s="3">
        <v>2</v>
      </c>
      <c r="C228" s="4" t="s">
        <v>11</v>
      </c>
      <c r="D228" s="4" t="s">
        <v>451</v>
      </c>
      <c r="E228" s="14" t="s">
        <v>454</v>
      </c>
      <c r="F228" s="14" t="s">
        <v>455</v>
      </c>
      <c r="G228" s="6" t="s">
        <v>15</v>
      </c>
      <c r="H228" s="6" t="s">
        <v>20</v>
      </c>
      <c r="I228" s="8">
        <v>4</v>
      </c>
      <c r="J228" s="8">
        <v>4</v>
      </c>
      <c r="K228" s="8"/>
      <c r="L228"/>
      <c r="M228"/>
      <c r="N228"/>
      <c r="O228"/>
      <c r="P228"/>
      <c r="Q228"/>
      <c r="R228"/>
    </row>
    <row r="229" spans="1:18" s="2" customFormat="1" ht="55.2" x14ac:dyDescent="0.3">
      <c r="A229" s="24">
        <v>217</v>
      </c>
      <c r="B229" s="3">
        <v>3</v>
      </c>
      <c r="C229" s="4" t="s">
        <v>11</v>
      </c>
      <c r="D229" s="4" t="s">
        <v>451</v>
      </c>
      <c r="E229" s="15" t="s">
        <v>456</v>
      </c>
      <c r="F229" s="15" t="s">
        <v>457</v>
      </c>
      <c r="G229" s="16" t="s">
        <v>127</v>
      </c>
      <c r="H229" s="16" t="s">
        <v>20</v>
      </c>
      <c r="I229" s="17">
        <v>5</v>
      </c>
      <c r="J229" s="17">
        <v>5</v>
      </c>
      <c r="K229" s="17"/>
      <c r="L229"/>
      <c r="M229"/>
      <c r="N229"/>
      <c r="O229"/>
      <c r="P229"/>
      <c r="Q229"/>
      <c r="R229"/>
    </row>
    <row r="230" spans="1:18" s="2" customFormat="1" ht="55.2" x14ac:dyDescent="0.3">
      <c r="A230" s="24">
        <v>218</v>
      </c>
      <c r="B230" s="3">
        <v>4</v>
      </c>
      <c r="C230" s="4" t="s">
        <v>11</v>
      </c>
      <c r="D230" s="4" t="s">
        <v>451</v>
      </c>
      <c r="E230" s="15" t="s">
        <v>458</v>
      </c>
      <c r="F230" s="15" t="s">
        <v>459</v>
      </c>
      <c r="G230" s="16" t="s">
        <v>127</v>
      </c>
      <c r="H230" s="16" t="s">
        <v>20</v>
      </c>
      <c r="I230" s="17">
        <v>4</v>
      </c>
      <c r="J230" s="17">
        <v>4</v>
      </c>
      <c r="K230" s="17"/>
      <c r="L230"/>
      <c r="M230"/>
      <c r="N230"/>
      <c r="O230"/>
      <c r="P230"/>
      <c r="Q230"/>
      <c r="R230"/>
    </row>
    <row r="231" spans="1:18" s="2" customFormat="1" ht="55.2" x14ac:dyDescent="0.3">
      <c r="A231" s="24">
        <v>219</v>
      </c>
      <c r="B231" s="3">
        <v>5</v>
      </c>
      <c r="C231" s="4" t="s">
        <v>11</v>
      </c>
      <c r="D231" s="4" t="s">
        <v>451</v>
      </c>
      <c r="E231" s="15" t="s">
        <v>460</v>
      </c>
      <c r="F231" s="15" t="s">
        <v>461</v>
      </c>
      <c r="G231" s="16" t="s">
        <v>127</v>
      </c>
      <c r="H231" s="16" t="s">
        <v>20</v>
      </c>
      <c r="I231" s="17">
        <v>4</v>
      </c>
      <c r="J231" s="17">
        <v>4</v>
      </c>
      <c r="K231" s="17"/>
      <c r="L231"/>
      <c r="M231"/>
      <c r="N231"/>
      <c r="O231"/>
      <c r="P231"/>
      <c r="Q231"/>
      <c r="R231"/>
    </row>
    <row r="232" spans="1:18" s="2" customFormat="1" ht="55.2" x14ac:dyDescent="0.3">
      <c r="A232" s="24">
        <v>220</v>
      </c>
      <c r="B232" s="3">
        <v>6</v>
      </c>
      <c r="C232" s="4" t="s">
        <v>11</v>
      </c>
      <c r="D232" s="4" t="s">
        <v>451</v>
      </c>
      <c r="E232" s="18" t="s">
        <v>462</v>
      </c>
      <c r="F232" s="18" t="s">
        <v>463</v>
      </c>
      <c r="G232" s="10" t="s">
        <v>83</v>
      </c>
      <c r="H232" s="10" t="s">
        <v>20</v>
      </c>
      <c r="I232" s="11">
        <v>5</v>
      </c>
      <c r="J232" s="11">
        <v>5</v>
      </c>
      <c r="K232" s="11"/>
      <c r="L232"/>
      <c r="M232"/>
      <c r="N232"/>
      <c r="O232"/>
      <c r="P232"/>
      <c r="Q232"/>
      <c r="R232"/>
    </row>
    <row r="233" spans="1:18" s="2" customFormat="1" ht="41.4" x14ac:dyDescent="0.3">
      <c r="A233" s="24">
        <v>221</v>
      </c>
      <c r="B233" s="3">
        <v>7</v>
      </c>
      <c r="C233" s="4" t="s">
        <v>11</v>
      </c>
      <c r="D233" s="4" t="s">
        <v>451</v>
      </c>
      <c r="E233" s="18" t="s">
        <v>464</v>
      </c>
      <c r="F233" s="18" t="s">
        <v>465</v>
      </c>
      <c r="G233" s="10" t="s">
        <v>83</v>
      </c>
      <c r="H233" s="10" t="s">
        <v>20</v>
      </c>
      <c r="I233" s="11">
        <v>5</v>
      </c>
      <c r="J233" s="11">
        <v>5</v>
      </c>
      <c r="K233" s="11"/>
      <c r="L233"/>
      <c r="M233"/>
      <c r="N233"/>
      <c r="O233"/>
      <c r="P233"/>
      <c r="Q233"/>
      <c r="R233"/>
    </row>
    <row r="234" spans="1:18" s="2" customFormat="1" ht="41.4" x14ac:dyDescent="0.3">
      <c r="A234" s="24">
        <v>222</v>
      </c>
      <c r="B234" s="3">
        <v>8</v>
      </c>
      <c r="C234" s="4" t="s">
        <v>11</v>
      </c>
      <c r="D234" s="4" t="s">
        <v>451</v>
      </c>
      <c r="E234" s="18" t="s">
        <v>466</v>
      </c>
      <c r="F234" s="18" t="s">
        <v>467</v>
      </c>
      <c r="G234" s="10" t="s">
        <v>83</v>
      </c>
      <c r="H234" s="10" t="s">
        <v>20</v>
      </c>
      <c r="I234" s="11">
        <v>5</v>
      </c>
      <c r="J234" s="11">
        <v>5</v>
      </c>
      <c r="K234" s="11"/>
      <c r="L234"/>
      <c r="M234"/>
      <c r="N234"/>
      <c r="O234"/>
      <c r="P234"/>
      <c r="Q234"/>
      <c r="R234"/>
    </row>
    <row r="235" spans="1:18" s="2" customFormat="1" ht="41.4" x14ac:dyDescent="0.3">
      <c r="A235" s="24">
        <v>223</v>
      </c>
      <c r="B235" s="3">
        <v>9</v>
      </c>
      <c r="C235" s="4" t="s">
        <v>11</v>
      </c>
      <c r="D235" s="4" t="s">
        <v>451</v>
      </c>
      <c r="E235" s="18" t="s">
        <v>468</v>
      </c>
      <c r="F235" s="18" t="s">
        <v>469</v>
      </c>
      <c r="G235" s="10" t="s">
        <v>83</v>
      </c>
      <c r="H235" s="10" t="s">
        <v>20</v>
      </c>
      <c r="I235" s="11">
        <v>4</v>
      </c>
      <c r="J235" s="11">
        <v>4</v>
      </c>
      <c r="K235" s="11"/>
      <c r="L235"/>
      <c r="M235"/>
      <c r="N235"/>
      <c r="O235"/>
      <c r="P235"/>
      <c r="Q235"/>
      <c r="R235"/>
    </row>
    <row r="236" spans="1:18" s="2" customFormat="1" ht="41.4" x14ac:dyDescent="0.3">
      <c r="A236" s="24">
        <v>224</v>
      </c>
      <c r="B236" s="3">
        <v>10</v>
      </c>
      <c r="C236" s="4" t="s">
        <v>11</v>
      </c>
      <c r="D236" s="4" t="s">
        <v>451</v>
      </c>
      <c r="E236" s="18" t="s">
        <v>470</v>
      </c>
      <c r="F236" s="18" t="s">
        <v>471</v>
      </c>
      <c r="G236" s="10" t="s">
        <v>83</v>
      </c>
      <c r="H236" s="10" t="s">
        <v>20</v>
      </c>
      <c r="I236" s="11">
        <v>4</v>
      </c>
      <c r="J236" s="11">
        <v>4</v>
      </c>
      <c r="K236" s="11"/>
      <c r="L236"/>
      <c r="M236"/>
      <c r="N236"/>
      <c r="O236"/>
      <c r="P236"/>
      <c r="Q236"/>
      <c r="R236"/>
    </row>
    <row r="237" spans="1:18" s="2" customFormat="1" ht="41.4" x14ac:dyDescent="0.3">
      <c r="A237" s="24">
        <v>225</v>
      </c>
      <c r="B237" s="3">
        <v>11</v>
      </c>
      <c r="C237" s="4" t="s">
        <v>11</v>
      </c>
      <c r="D237" s="4" t="s">
        <v>451</v>
      </c>
      <c r="E237" s="18" t="s">
        <v>472</v>
      </c>
      <c r="F237" s="18" t="s">
        <v>473</v>
      </c>
      <c r="G237" s="10" t="s">
        <v>83</v>
      </c>
      <c r="H237" s="10" t="s">
        <v>20</v>
      </c>
      <c r="I237" s="11">
        <v>3</v>
      </c>
      <c r="J237" s="11">
        <v>3</v>
      </c>
      <c r="K237" s="11"/>
      <c r="L237"/>
      <c r="M237"/>
      <c r="N237"/>
      <c r="O237"/>
      <c r="P237"/>
      <c r="Q237"/>
      <c r="R237"/>
    </row>
    <row r="238" spans="1:18" s="2" customFormat="1" ht="41.4" x14ac:dyDescent="0.3">
      <c r="A238" s="24">
        <v>226</v>
      </c>
      <c r="B238" s="3">
        <v>12</v>
      </c>
      <c r="C238" s="4" t="s">
        <v>11</v>
      </c>
      <c r="D238" s="4" t="s">
        <v>451</v>
      </c>
      <c r="E238" s="18" t="s">
        <v>474</v>
      </c>
      <c r="F238" s="18" t="s">
        <v>475</v>
      </c>
      <c r="G238" s="10" t="s">
        <v>83</v>
      </c>
      <c r="H238" s="10" t="s">
        <v>20</v>
      </c>
      <c r="I238" s="11">
        <v>3</v>
      </c>
      <c r="J238" s="11">
        <v>3</v>
      </c>
      <c r="K238" s="11"/>
      <c r="L238"/>
      <c r="M238"/>
      <c r="N238"/>
      <c r="O238"/>
      <c r="P238"/>
      <c r="Q238"/>
      <c r="R238"/>
    </row>
    <row r="239" spans="1:18" s="2" customFormat="1" ht="55.2" x14ac:dyDescent="0.3">
      <c r="A239" s="24">
        <v>227</v>
      </c>
      <c r="B239" s="3">
        <v>13</v>
      </c>
      <c r="C239" s="4" t="s">
        <v>11</v>
      </c>
      <c r="D239" s="4" t="s">
        <v>451</v>
      </c>
      <c r="E239" s="18" t="s">
        <v>476</v>
      </c>
      <c r="F239" s="18" t="s">
        <v>477</v>
      </c>
      <c r="G239" s="10" t="s">
        <v>83</v>
      </c>
      <c r="H239" s="10" t="s">
        <v>20</v>
      </c>
      <c r="I239" s="11">
        <v>3</v>
      </c>
      <c r="J239" s="11">
        <v>3</v>
      </c>
      <c r="K239" s="11"/>
      <c r="L239"/>
      <c r="M239"/>
      <c r="N239"/>
      <c r="O239"/>
      <c r="P239"/>
      <c r="Q239"/>
      <c r="R239"/>
    </row>
    <row r="240" spans="1:18" s="2" customFormat="1" ht="41.4" x14ac:dyDescent="0.3">
      <c r="A240" s="24">
        <v>228</v>
      </c>
      <c r="B240" s="3">
        <v>14</v>
      </c>
      <c r="C240" s="4" t="s">
        <v>11</v>
      </c>
      <c r="D240" s="4" t="s">
        <v>451</v>
      </c>
      <c r="E240" s="18" t="s">
        <v>478</v>
      </c>
      <c r="F240" s="18" t="s">
        <v>479</v>
      </c>
      <c r="G240" s="10" t="s">
        <v>83</v>
      </c>
      <c r="H240" s="10" t="s">
        <v>20</v>
      </c>
      <c r="I240" s="11">
        <v>3</v>
      </c>
      <c r="J240" s="11">
        <v>3</v>
      </c>
      <c r="K240" s="11"/>
      <c r="L240"/>
      <c r="M240"/>
      <c r="N240"/>
      <c r="O240"/>
      <c r="P240"/>
      <c r="Q240"/>
      <c r="R240"/>
    </row>
    <row r="241" spans="1:18" s="2" customFormat="1" ht="55.2" x14ac:dyDescent="0.3">
      <c r="A241" s="24">
        <v>229</v>
      </c>
      <c r="B241" s="3">
        <v>15</v>
      </c>
      <c r="C241" s="4" t="s">
        <v>11</v>
      </c>
      <c r="D241" s="4" t="s">
        <v>451</v>
      </c>
      <c r="E241" s="18" t="s">
        <v>480</v>
      </c>
      <c r="F241" s="18" t="s">
        <v>481</v>
      </c>
      <c r="G241" s="10" t="s">
        <v>83</v>
      </c>
      <c r="H241" s="10" t="s">
        <v>20</v>
      </c>
      <c r="I241" s="11">
        <v>2</v>
      </c>
      <c r="J241" s="11">
        <v>2</v>
      </c>
      <c r="K241" s="11"/>
      <c r="L241"/>
      <c r="M241"/>
      <c r="N241"/>
      <c r="O241"/>
      <c r="P241"/>
      <c r="Q241"/>
      <c r="R241"/>
    </row>
    <row r="242" spans="1:18" s="2" customFormat="1" ht="41.4" x14ac:dyDescent="0.3">
      <c r="A242" s="24">
        <v>230</v>
      </c>
      <c r="B242" s="3">
        <v>16</v>
      </c>
      <c r="C242" s="4" t="s">
        <v>11</v>
      </c>
      <c r="D242" s="4" t="s">
        <v>451</v>
      </c>
      <c r="E242" s="18" t="s">
        <v>482</v>
      </c>
      <c r="F242" s="18" t="s">
        <v>483</v>
      </c>
      <c r="G242" s="10" t="s">
        <v>83</v>
      </c>
      <c r="H242" s="10" t="s">
        <v>20</v>
      </c>
      <c r="I242" s="11">
        <v>2</v>
      </c>
      <c r="J242" s="11">
        <v>2</v>
      </c>
      <c r="K242" s="11"/>
      <c r="L242"/>
      <c r="M242"/>
      <c r="N242"/>
      <c r="O242"/>
      <c r="P242"/>
      <c r="Q242"/>
      <c r="R242"/>
    </row>
    <row r="243" spans="1:18" s="2" customFormat="1" ht="55.2" x14ac:dyDescent="0.3">
      <c r="A243" s="24">
        <v>231</v>
      </c>
      <c r="B243" s="3">
        <v>17</v>
      </c>
      <c r="C243" s="4" t="s">
        <v>11</v>
      </c>
      <c r="D243" s="4" t="s">
        <v>451</v>
      </c>
      <c r="E243" s="18" t="s">
        <v>484</v>
      </c>
      <c r="F243" s="18" t="s">
        <v>485</v>
      </c>
      <c r="G243" s="10" t="s">
        <v>83</v>
      </c>
      <c r="H243" s="10" t="s">
        <v>20</v>
      </c>
      <c r="I243" s="11">
        <v>2</v>
      </c>
      <c r="J243" s="11">
        <v>2</v>
      </c>
      <c r="K243" s="11"/>
      <c r="L243"/>
      <c r="M243"/>
      <c r="N243"/>
      <c r="O243"/>
      <c r="P243"/>
      <c r="Q243"/>
      <c r="R243"/>
    </row>
    <row r="244" spans="1:18" s="7" customFormat="1" ht="55.2" x14ac:dyDescent="0.3">
      <c r="A244" s="24">
        <v>232</v>
      </c>
      <c r="B244" s="3">
        <v>18</v>
      </c>
      <c r="C244" s="4" t="s">
        <v>11</v>
      </c>
      <c r="D244" s="4" t="s">
        <v>451</v>
      </c>
      <c r="E244" s="18" t="s">
        <v>486</v>
      </c>
      <c r="F244" s="18" t="s">
        <v>487</v>
      </c>
      <c r="G244" s="10" t="s">
        <v>83</v>
      </c>
      <c r="H244" s="10" t="s">
        <v>20</v>
      </c>
      <c r="I244" s="11">
        <v>2</v>
      </c>
      <c r="J244" s="11">
        <v>2</v>
      </c>
      <c r="K244" s="11"/>
      <c r="L244"/>
      <c r="M244"/>
      <c r="N244"/>
      <c r="O244"/>
      <c r="P244"/>
      <c r="Q244"/>
      <c r="R244"/>
    </row>
    <row r="245" spans="1:18" s="7" customFormat="1" ht="55.2" x14ac:dyDescent="0.3">
      <c r="A245" s="24">
        <v>233</v>
      </c>
      <c r="B245" s="3">
        <v>19</v>
      </c>
      <c r="C245" s="4" t="s">
        <v>11</v>
      </c>
      <c r="D245" s="4" t="s">
        <v>451</v>
      </c>
      <c r="E245" s="18" t="s">
        <v>488</v>
      </c>
      <c r="F245" s="18" t="s">
        <v>489</v>
      </c>
      <c r="G245" s="10" t="s">
        <v>83</v>
      </c>
      <c r="H245" s="10" t="s">
        <v>20</v>
      </c>
      <c r="I245" s="11">
        <v>1</v>
      </c>
      <c r="J245" s="11">
        <v>1</v>
      </c>
      <c r="K245" s="11"/>
      <c r="L245"/>
      <c r="M245"/>
      <c r="N245"/>
      <c r="O245"/>
      <c r="P245"/>
      <c r="Q245"/>
      <c r="R245"/>
    </row>
    <row r="246" spans="1:18" s="7" customFormat="1" ht="41.4" x14ac:dyDescent="0.3">
      <c r="A246" s="24">
        <v>234</v>
      </c>
      <c r="B246" s="3">
        <v>20</v>
      </c>
      <c r="C246" s="4" t="s">
        <v>11</v>
      </c>
      <c r="D246" s="4" t="s">
        <v>451</v>
      </c>
      <c r="E246" s="18" t="s">
        <v>490</v>
      </c>
      <c r="F246" s="18" t="s">
        <v>491</v>
      </c>
      <c r="G246" s="10" t="s">
        <v>83</v>
      </c>
      <c r="H246" s="10" t="s">
        <v>20</v>
      </c>
      <c r="I246" s="11">
        <v>1</v>
      </c>
      <c r="J246" s="11">
        <v>1</v>
      </c>
      <c r="K246" s="11"/>
      <c r="L246"/>
      <c r="M246"/>
      <c r="N246"/>
      <c r="O246"/>
      <c r="P246"/>
      <c r="Q246"/>
      <c r="R246"/>
    </row>
    <row r="247" spans="1:18" s="7" customFormat="1" ht="41.4" x14ac:dyDescent="0.3">
      <c r="A247" s="24">
        <v>235</v>
      </c>
      <c r="B247" s="12">
        <v>1</v>
      </c>
      <c r="C247" s="4" t="s">
        <v>11</v>
      </c>
      <c r="D247" s="4" t="s">
        <v>492</v>
      </c>
      <c r="E247" s="15" t="s">
        <v>493</v>
      </c>
      <c r="F247" s="15" t="s">
        <v>494</v>
      </c>
      <c r="G247" s="16" t="s">
        <v>127</v>
      </c>
      <c r="H247" s="16" t="s">
        <v>16</v>
      </c>
      <c r="I247" s="17" t="s">
        <v>17</v>
      </c>
      <c r="J247" s="17" t="s">
        <v>17</v>
      </c>
      <c r="K247" s="17"/>
      <c r="L247"/>
      <c r="M247"/>
      <c r="N247"/>
      <c r="O247"/>
      <c r="P247"/>
      <c r="Q247"/>
      <c r="R247"/>
    </row>
    <row r="248" spans="1:18" s="7" customFormat="1" ht="55.2" x14ac:dyDescent="0.3">
      <c r="A248" s="24">
        <v>236</v>
      </c>
      <c r="B248" s="12">
        <v>2</v>
      </c>
      <c r="C248" s="4" t="s">
        <v>11</v>
      </c>
      <c r="D248" s="4" t="s">
        <v>492</v>
      </c>
      <c r="E248" s="15" t="s">
        <v>495</v>
      </c>
      <c r="F248" s="15" t="s">
        <v>496</v>
      </c>
      <c r="G248" s="16" t="s">
        <v>127</v>
      </c>
      <c r="H248" s="16" t="s">
        <v>20</v>
      </c>
      <c r="I248" s="17">
        <v>5</v>
      </c>
      <c r="J248" s="17">
        <v>5</v>
      </c>
      <c r="K248" s="17"/>
      <c r="L248"/>
      <c r="M248"/>
      <c r="N248"/>
      <c r="O248"/>
      <c r="P248"/>
      <c r="Q248"/>
      <c r="R248"/>
    </row>
    <row r="249" spans="1:18" s="7" customFormat="1" ht="55.2" x14ac:dyDescent="0.3">
      <c r="A249" s="24">
        <v>237</v>
      </c>
      <c r="B249" s="12">
        <v>3</v>
      </c>
      <c r="C249" s="4" t="s">
        <v>11</v>
      </c>
      <c r="D249" s="4" t="s">
        <v>492</v>
      </c>
      <c r="E249" s="15" t="s">
        <v>497</v>
      </c>
      <c r="F249" s="15" t="s">
        <v>498</v>
      </c>
      <c r="G249" s="16" t="s">
        <v>127</v>
      </c>
      <c r="H249" s="16" t="s">
        <v>20</v>
      </c>
      <c r="I249" s="17">
        <v>3</v>
      </c>
      <c r="J249" s="17">
        <v>3</v>
      </c>
      <c r="K249" s="17"/>
      <c r="L249"/>
      <c r="M249"/>
      <c r="N249"/>
      <c r="O249"/>
      <c r="P249"/>
      <c r="Q249"/>
      <c r="R249"/>
    </row>
    <row r="250" spans="1:18" s="7" customFormat="1" ht="55.2" x14ac:dyDescent="0.3">
      <c r="A250" s="24">
        <v>238</v>
      </c>
      <c r="B250" s="12">
        <v>4</v>
      </c>
      <c r="C250" s="4" t="s">
        <v>11</v>
      </c>
      <c r="D250" s="4" t="s">
        <v>492</v>
      </c>
      <c r="E250" s="15" t="s">
        <v>499</v>
      </c>
      <c r="F250" s="15" t="s">
        <v>500</v>
      </c>
      <c r="G250" s="16" t="s">
        <v>127</v>
      </c>
      <c r="H250" s="16" t="s">
        <v>20</v>
      </c>
      <c r="I250" s="17">
        <v>2</v>
      </c>
      <c r="J250" s="17">
        <v>2</v>
      </c>
      <c r="K250" s="17"/>
      <c r="L250"/>
      <c r="M250"/>
      <c r="N250"/>
      <c r="O250"/>
      <c r="P250"/>
      <c r="Q250"/>
      <c r="R250"/>
    </row>
    <row r="251" spans="1:18" s="7" customFormat="1" ht="41.4" x14ac:dyDescent="0.3">
      <c r="A251" s="24">
        <v>239</v>
      </c>
      <c r="B251" s="12">
        <v>5</v>
      </c>
      <c r="C251" s="4" t="s">
        <v>11</v>
      </c>
      <c r="D251" s="4" t="s">
        <v>492</v>
      </c>
      <c r="E251" s="18" t="s">
        <v>501</v>
      </c>
      <c r="F251" s="18" t="s">
        <v>502</v>
      </c>
      <c r="G251" s="10" t="s">
        <v>83</v>
      </c>
      <c r="H251" s="10" t="s">
        <v>20</v>
      </c>
      <c r="I251" s="11">
        <v>5</v>
      </c>
      <c r="J251" s="11">
        <v>5</v>
      </c>
      <c r="K251" s="11"/>
      <c r="L251"/>
      <c r="M251"/>
      <c r="N251"/>
      <c r="O251"/>
      <c r="P251"/>
      <c r="Q251"/>
      <c r="R251"/>
    </row>
    <row r="252" spans="1:18" s="7" customFormat="1" ht="41.4" x14ac:dyDescent="0.3">
      <c r="A252" s="24">
        <v>240</v>
      </c>
      <c r="B252" s="12">
        <v>6</v>
      </c>
      <c r="C252" s="4" t="s">
        <v>11</v>
      </c>
      <c r="D252" s="4" t="s">
        <v>492</v>
      </c>
      <c r="E252" s="18" t="s">
        <v>503</v>
      </c>
      <c r="F252" s="18" t="s">
        <v>504</v>
      </c>
      <c r="G252" s="10" t="s">
        <v>83</v>
      </c>
      <c r="H252" s="10" t="s">
        <v>20</v>
      </c>
      <c r="I252" s="11">
        <v>5</v>
      </c>
      <c r="J252" s="11">
        <v>5</v>
      </c>
      <c r="K252" s="11"/>
      <c r="L252"/>
      <c r="M252"/>
      <c r="N252"/>
      <c r="O252"/>
      <c r="P252"/>
      <c r="Q252"/>
      <c r="R252"/>
    </row>
    <row r="253" spans="1:18" s="7" customFormat="1" ht="55.2" x14ac:dyDescent="0.3">
      <c r="A253" s="24">
        <v>241</v>
      </c>
      <c r="B253" s="12">
        <v>7</v>
      </c>
      <c r="C253" s="4" t="s">
        <v>11</v>
      </c>
      <c r="D253" s="4" t="s">
        <v>492</v>
      </c>
      <c r="E253" s="18" t="s">
        <v>505</v>
      </c>
      <c r="F253" s="18" t="s">
        <v>506</v>
      </c>
      <c r="G253" s="10" t="s">
        <v>83</v>
      </c>
      <c r="H253" s="10" t="s">
        <v>20</v>
      </c>
      <c r="I253" s="11">
        <v>5</v>
      </c>
      <c r="J253" s="11">
        <v>5</v>
      </c>
      <c r="K253" s="11"/>
      <c r="L253"/>
      <c r="M253"/>
      <c r="N253"/>
      <c r="O253"/>
      <c r="P253"/>
      <c r="Q253"/>
      <c r="R253"/>
    </row>
    <row r="254" spans="1:18" s="7" customFormat="1" ht="41.4" x14ac:dyDescent="0.3">
      <c r="A254" s="24">
        <v>242</v>
      </c>
      <c r="B254" s="12">
        <v>8</v>
      </c>
      <c r="C254" s="4" t="s">
        <v>11</v>
      </c>
      <c r="D254" s="4" t="s">
        <v>492</v>
      </c>
      <c r="E254" s="18" t="s">
        <v>507</v>
      </c>
      <c r="F254" s="18" t="s">
        <v>508</v>
      </c>
      <c r="G254" s="10" t="s">
        <v>83</v>
      </c>
      <c r="H254" s="10" t="s">
        <v>20</v>
      </c>
      <c r="I254" s="11">
        <v>5</v>
      </c>
      <c r="J254" s="11">
        <v>5</v>
      </c>
      <c r="K254" s="11"/>
      <c r="L254"/>
      <c r="M254"/>
      <c r="N254"/>
      <c r="O254"/>
      <c r="P254"/>
      <c r="Q254"/>
      <c r="R254"/>
    </row>
    <row r="255" spans="1:18" s="7" customFormat="1" ht="55.2" x14ac:dyDescent="0.3">
      <c r="A255" s="24">
        <v>243</v>
      </c>
      <c r="B255" s="12">
        <v>9</v>
      </c>
      <c r="C255" s="4" t="s">
        <v>11</v>
      </c>
      <c r="D255" s="4" t="s">
        <v>492</v>
      </c>
      <c r="E255" s="18" t="s">
        <v>509</v>
      </c>
      <c r="F255" s="18" t="s">
        <v>510</v>
      </c>
      <c r="G255" s="10" t="s">
        <v>83</v>
      </c>
      <c r="H255" s="10" t="s">
        <v>20</v>
      </c>
      <c r="I255" s="11">
        <v>5</v>
      </c>
      <c r="J255" s="11">
        <v>5</v>
      </c>
      <c r="K255" s="11"/>
      <c r="L255"/>
      <c r="M255"/>
      <c r="N255"/>
      <c r="O255"/>
      <c r="P255"/>
      <c r="Q255"/>
      <c r="R255"/>
    </row>
    <row r="256" spans="1:18" s="7" customFormat="1" ht="41.4" x14ac:dyDescent="0.3">
      <c r="A256" s="24">
        <v>244</v>
      </c>
      <c r="B256" s="12">
        <v>10</v>
      </c>
      <c r="C256" s="4" t="s">
        <v>11</v>
      </c>
      <c r="D256" s="4" t="s">
        <v>492</v>
      </c>
      <c r="E256" s="18" t="s">
        <v>511</v>
      </c>
      <c r="F256" s="18" t="s">
        <v>512</v>
      </c>
      <c r="G256" s="10" t="s">
        <v>83</v>
      </c>
      <c r="H256" s="10" t="s">
        <v>20</v>
      </c>
      <c r="I256" s="11">
        <v>4</v>
      </c>
      <c r="J256" s="11">
        <v>5</v>
      </c>
      <c r="K256" s="11"/>
      <c r="L256"/>
      <c r="M256"/>
      <c r="N256"/>
      <c r="O256"/>
      <c r="P256"/>
      <c r="Q256"/>
      <c r="R256"/>
    </row>
    <row r="257" spans="1:18" s="7" customFormat="1" ht="41.4" x14ac:dyDescent="0.3">
      <c r="A257" s="24">
        <v>245</v>
      </c>
      <c r="B257" s="12">
        <v>11</v>
      </c>
      <c r="C257" s="4" t="s">
        <v>11</v>
      </c>
      <c r="D257" s="4" t="s">
        <v>492</v>
      </c>
      <c r="E257" s="18" t="s">
        <v>513</v>
      </c>
      <c r="F257" s="18" t="s">
        <v>514</v>
      </c>
      <c r="G257" s="10" t="s">
        <v>83</v>
      </c>
      <c r="H257" s="10" t="s">
        <v>20</v>
      </c>
      <c r="I257" s="11">
        <v>4</v>
      </c>
      <c r="J257" s="11">
        <v>5</v>
      </c>
      <c r="K257" s="11"/>
      <c r="L257"/>
      <c r="M257"/>
      <c r="N257"/>
      <c r="O257"/>
      <c r="P257"/>
      <c r="Q257"/>
      <c r="R257"/>
    </row>
    <row r="258" spans="1:18" s="7" customFormat="1" ht="41.4" x14ac:dyDescent="0.3">
      <c r="A258" s="24">
        <v>246</v>
      </c>
      <c r="B258" s="12">
        <v>12</v>
      </c>
      <c r="C258" s="4" t="s">
        <v>11</v>
      </c>
      <c r="D258" s="4" t="s">
        <v>492</v>
      </c>
      <c r="E258" s="18" t="s">
        <v>515</v>
      </c>
      <c r="F258" s="18" t="s">
        <v>516</v>
      </c>
      <c r="G258" s="10" t="s">
        <v>83</v>
      </c>
      <c r="H258" s="10" t="s">
        <v>20</v>
      </c>
      <c r="I258" s="11">
        <v>4</v>
      </c>
      <c r="J258" s="11">
        <v>5</v>
      </c>
      <c r="K258" s="11"/>
      <c r="L258"/>
      <c r="M258"/>
      <c r="N258"/>
      <c r="O258"/>
      <c r="P258"/>
      <c r="Q258"/>
      <c r="R258"/>
    </row>
    <row r="259" spans="1:18" s="7" customFormat="1" ht="41.4" x14ac:dyDescent="0.3">
      <c r="A259" s="24">
        <v>247</v>
      </c>
      <c r="B259" s="12">
        <v>13</v>
      </c>
      <c r="C259" s="4" t="s">
        <v>11</v>
      </c>
      <c r="D259" s="4" t="s">
        <v>492</v>
      </c>
      <c r="E259" s="18" t="s">
        <v>517</v>
      </c>
      <c r="F259" s="18" t="s">
        <v>518</v>
      </c>
      <c r="G259" s="10" t="s">
        <v>83</v>
      </c>
      <c r="H259" s="10" t="s">
        <v>20</v>
      </c>
      <c r="I259" s="11">
        <v>4</v>
      </c>
      <c r="J259" s="11">
        <v>5</v>
      </c>
      <c r="K259" s="11"/>
      <c r="L259"/>
      <c r="M259"/>
      <c r="N259"/>
      <c r="O259"/>
      <c r="P259"/>
      <c r="Q259"/>
      <c r="R259"/>
    </row>
    <row r="260" spans="1:18" s="7" customFormat="1" ht="55.2" x14ac:dyDescent="0.3">
      <c r="A260" s="24">
        <v>248</v>
      </c>
      <c r="B260" s="12">
        <v>14</v>
      </c>
      <c r="C260" s="4" t="s">
        <v>11</v>
      </c>
      <c r="D260" s="4" t="s">
        <v>492</v>
      </c>
      <c r="E260" s="18" t="s">
        <v>519</v>
      </c>
      <c r="F260" s="18" t="s">
        <v>520</v>
      </c>
      <c r="G260" s="10" t="s">
        <v>83</v>
      </c>
      <c r="H260" s="10" t="s">
        <v>20</v>
      </c>
      <c r="I260" s="11">
        <v>3</v>
      </c>
      <c r="J260" s="11">
        <v>3</v>
      </c>
      <c r="K260" s="11"/>
      <c r="L260"/>
      <c r="M260"/>
      <c r="N260"/>
      <c r="O260"/>
      <c r="P260"/>
      <c r="Q260"/>
      <c r="R260"/>
    </row>
    <row r="261" spans="1:18" s="7" customFormat="1" ht="41.4" x14ac:dyDescent="0.3">
      <c r="A261" s="24">
        <v>249</v>
      </c>
      <c r="B261" s="12">
        <v>15</v>
      </c>
      <c r="C261" s="4" t="s">
        <v>11</v>
      </c>
      <c r="D261" s="4" t="s">
        <v>492</v>
      </c>
      <c r="E261" s="18" t="s">
        <v>521</v>
      </c>
      <c r="F261" s="18" t="s">
        <v>522</v>
      </c>
      <c r="G261" s="10" t="s">
        <v>83</v>
      </c>
      <c r="H261" s="10" t="s">
        <v>20</v>
      </c>
      <c r="I261" s="11">
        <v>3</v>
      </c>
      <c r="J261" s="11">
        <v>3</v>
      </c>
      <c r="K261" s="11"/>
      <c r="L261"/>
      <c r="M261"/>
      <c r="N261"/>
      <c r="O261"/>
      <c r="P261"/>
      <c r="Q261"/>
      <c r="R261"/>
    </row>
    <row r="262" spans="1:18" s="7" customFormat="1" ht="41.4" x14ac:dyDescent="0.3">
      <c r="A262" s="24">
        <v>250</v>
      </c>
      <c r="B262" s="12">
        <v>16</v>
      </c>
      <c r="C262" s="4" t="s">
        <v>11</v>
      </c>
      <c r="D262" s="4" t="s">
        <v>492</v>
      </c>
      <c r="E262" s="18" t="s">
        <v>523</v>
      </c>
      <c r="F262" s="18" t="s">
        <v>524</v>
      </c>
      <c r="G262" s="10" t="s">
        <v>83</v>
      </c>
      <c r="H262" s="10" t="s">
        <v>20</v>
      </c>
      <c r="I262" s="11">
        <v>3</v>
      </c>
      <c r="J262" s="11">
        <v>3</v>
      </c>
      <c r="K262" s="11"/>
      <c r="L262"/>
      <c r="M262"/>
      <c r="N262"/>
      <c r="O262"/>
      <c r="P262"/>
      <c r="Q262"/>
      <c r="R262"/>
    </row>
    <row r="263" spans="1:18" s="7" customFormat="1" ht="41.4" x14ac:dyDescent="0.3">
      <c r="A263" s="24">
        <v>251</v>
      </c>
      <c r="B263" s="12">
        <v>17</v>
      </c>
      <c r="C263" s="4" t="s">
        <v>11</v>
      </c>
      <c r="D263" s="4" t="s">
        <v>492</v>
      </c>
      <c r="E263" s="18" t="s">
        <v>525</v>
      </c>
      <c r="F263" s="18" t="s">
        <v>526</v>
      </c>
      <c r="G263" s="10" t="s">
        <v>83</v>
      </c>
      <c r="H263" s="10" t="s">
        <v>20</v>
      </c>
      <c r="I263" s="11">
        <v>2</v>
      </c>
      <c r="J263" s="11">
        <v>2</v>
      </c>
      <c r="K263" s="11"/>
      <c r="L263"/>
      <c r="M263"/>
      <c r="N263"/>
      <c r="O263"/>
      <c r="P263"/>
      <c r="Q263"/>
      <c r="R263"/>
    </row>
    <row r="264" spans="1:18" s="7" customFormat="1" ht="41.4" x14ac:dyDescent="0.3">
      <c r="A264" s="24">
        <v>252</v>
      </c>
      <c r="B264" s="12">
        <v>18</v>
      </c>
      <c r="C264" s="4" t="s">
        <v>11</v>
      </c>
      <c r="D264" s="4" t="s">
        <v>492</v>
      </c>
      <c r="E264" s="18" t="s">
        <v>527</v>
      </c>
      <c r="F264" s="18" t="s">
        <v>528</v>
      </c>
      <c r="G264" s="10" t="s">
        <v>83</v>
      </c>
      <c r="H264" s="10" t="s">
        <v>20</v>
      </c>
      <c r="I264" s="11">
        <v>2</v>
      </c>
      <c r="J264" s="11">
        <v>2</v>
      </c>
      <c r="K264" s="11"/>
      <c r="L264"/>
      <c r="M264"/>
      <c r="N264"/>
      <c r="O264"/>
      <c r="P264"/>
      <c r="Q264"/>
      <c r="R264"/>
    </row>
    <row r="265" spans="1:18" s="7" customFormat="1" ht="41.4" x14ac:dyDescent="0.3">
      <c r="A265" s="24">
        <v>253</v>
      </c>
      <c r="B265" s="12">
        <v>19</v>
      </c>
      <c r="C265" s="4" t="s">
        <v>11</v>
      </c>
      <c r="D265" s="4" t="s">
        <v>492</v>
      </c>
      <c r="E265" s="18" t="s">
        <v>529</v>
      </c>
      <c r="F265" s="18" t="s">
        <v>530</v>
      </c>
      <c r="G265" s="10" t="s">
        <v>83</v>
      </c>
      <c r="H265" s="10" t="s">
        <v>20</v>
      </c>
      <c r="I265" s="11">
        <v>2</v>
      </c>
      <c r="J265" s="11">
        <v>2</v>
      </c>
      <c r="K265" s="11"/>
      <c r="L265"/>
      <c r="M265"/>
      <c r="N265"/>
      <c r="O265"/>
      <c r="P265"/>
      <c r="Q265"/>
      <c r="R265"/>
    </row>
    <row r="266" spans="1:18" s="7" customFormat="1" ht="55.2" x14ac:dyDescent="0.3">
      <c r="A266" s="24">
        <v>254</v>
      </c>
      <c r="B266" s="12">
        <v>20</v>
      </c>
      <c r="C266" s="4" t="s">
        <v>11</v>
      </c>
      <c r="D266" s="4" t="s">
        <v>492</v>
      </c>
      <c r="E266" s="18" t="s">
        <v>531</v>
      </c>
      <c r="F266" s="18" t="s">
        <v>532</v>
      </c>
      <c r="G266" s="10" t="s">
        <v>83</v>
      </c>
      <c r="H266" s="10" t="s">
        <v>20</v>
      </c>
      <c r="I266" s="11">
        <v>2</v>
      </c>
      <c r="J266" s="11">
        <v>2</v>
      </c>
      <c r="K266" s="11"/>
      <c r="L266"/>
      <c r="M266"/>
      <c r="N266"/>
      <c r="O266"/>
      <c r="P266"/>
      <c r="Q266"/>
      <c r="R266"/>
    </row>
    <row r="267" spans="1:18" s="7" customFormat="1" ht="41.4" x14ac:dyDescent="0.3">
      <c r="A267" s="24">
        <v>255</v>
      </c>
      <c r="B267" s="3">
        <v>1</v>
      </c>
      <c r="C267" s="4" t="s">
        <v>11</v>
      </c>
      <c r="D267" s="4" t="s">
        <v>533</v>
      </c>
      <c r="E267" s="15" t="s">
        <v>534</v>
      </c>
      <c r="F267" s="15" t="s">
        <v>535</v>
      </c>
      <c r="G267" s="16" t="s">
        <v>127</v>
      </c>
      <c r="H267" s="16" t="s">
        <v>16</v>
      </c>
      <c r="I267" s="17" t="s">
        <v>17</v>
      </c>
      <c r="J267" s="17" t="s">
        <v>17</v>
      </c>
      <c r="K267" s="17"/>
      <c r="L267"/>
      <c r="M267"/>
      <c r="N267"/>
      <c r="O267"/>
      <c r="P267"/>
      <c r="Q267"/>
      <c r="R267"/>
    </row>
    <row r="268" spans="1:18" s="7" customFormat="1" ht="55.2" x14ac:dyDescent="0.3">
      <c r="A268" s="24">
        <v>256</v>
      </c>
      <c r="B268" s="3">
        <v>2</v>
      </c>
      <c r="C268" s="4" t="s">
        <v>11</v>
      </c>
      <c r="D268" s="4" t="s">
        <v>533</v>
      </c>
      <c r="E268" s="15" t="s">
        <v>536</v>
      </c>
      <c r="F268" s="15" t="s">
        <v>537</v>
      </c>
      <c r="G268" s="16" t="s">
        <v>127</v>
      </c>
      <c r="H268" s="16" t="s">
        <v>20</v>
      </c>
      <c r="I268" s="17">
        <v>5</v>
      </c>
      <c r="J268" s="17">
        <v>5</v>
      </c>
      <c r="K268" s="17"/>
      <c r="L268"/>
      <c r="M268"/>
      <c r="N268"/>
      <c r="O268"/>
      <c r="P268"/>
      <c r="Q268"/>
      <c r="R268"/>
    </row>
    <row r="269" spans="1:18" s="7" customFormat="1" ht="55.2" x14ac:dyDescent="0.3">
      <c r="A269" s="24">
        <v>257</v>
      </c>
      <c r="B269" s="3">
        <v>3</v>
      </c>
      <c r="C269" s="4" t="s">
        <v>11</v>
      </c>
      <c r="D269" s="4" t="s">
        <v>533</v>
      </c>
      <c r="E269" s="15" t="s">
        <v>538</v>
      </c>
      <c r="F269" s="15" t="s">
        <v>539</v>
      </c>
      <c r="G269" s="16" t="s">
        <v>127</v>
      </c>
      <c r="H269" s="16" t="s">
        <v>20</v>
      </c>
      <c r="I269" s="17">
        <v>4</v>
      </c>
      <c r="J269" s="17">
        <v>4</v>
      </c>
      <c r="K269" s="17"/>
      <c r="L269"/>
      <c r="M269"/>
      <c r="N269"/>
      <c r="O269"/>
      <c r="P269"/>
      <c r="Q269"/>
      <c r="R269"/>
    </row>
    <row r="270" spans="1:18" s="7" customFormat="1" ht="55.2" x14ac:dyDescent="0.3">
      <c r="A270" s="24">
        <v>258</v>
      </c>
      <c r="B270" s="3">
        <v>4</v>
      </c>
      <c r="C270" s="4" t="s">
        <v>11</v>
      </c>
      <c r="D270" s="4" t="s">
        <v>533</v>
      </c>
      <c r="E270" s="15" t="s">
        <v>540</v>
      </c>
      <c r="F270" s="15" t="s">
        <v>541</v>
      </c>
      <c r="G270" s="16" t="s">
        <v>127</v>
      </c>
      <c r="H270" s="16" t="s">
        <v>20</v>
      </c>
      <c r="I270" s="17">
        <v>3</v>
      </c>
      <c r="J270" s="17">
        <v>3</v>
      </c>
      <c r="K270" s="17"/>
      <c r="L270"/>
      <c r="M270"/>
      <c r="N270"/>
      <c r="O270"/>
      <c r="P270"/>
      <c r="Q270"/>
      <c r="R270"/>
    </row>
    <row r="271" spans="1:18" s="7" customFormat="1" ht="41.4" x14ac:dyDescent="0.3">
      <c r="A271" s="24">
        <v>259</v>
      </c>
      <c r="B271" s="3">
        <v>5</v>
      </c>
      <c r="C271" s="4" t="s">
        <v>11</v>
      </c>
      <c r="D271" s="4" t="s">
        <v>533</v>
      </c>
      <c r="E271" s="15" t="s">
        <v>542</v>
      </c>
      <c r="F271" s="15" t="s">
        <v>543</v>
      </c>
      <c r="G271" s="16" t="s">
        <v>127</v>
      </c>
      <c r="H271" s="16" t="s">
        <v>20</v>
      </c>
      <c r="I271" s="17">
        <v>3</v>
      </c>
      <c r="J271" s="17">
        <v>3</v>
      </c>
      <c r="K271" s="17"/>
      <c r="L271"/>
      <c r="M271"/>
      <c r="N271"/>
      <c r="O271"/>
      <c r="P271"/>
      <c r="Q271"/>
      <c r="R271"/>
    </row>
    <row r="272" spans="1:18" s="7" customFormat="1" ht="55.2" x14ac:dyDescent="0.3">
      <c r="A272" s="24">
        <v>260</v>
      </c>
      <c r="B272" s="3">
        <v>6</v>
      </c>
      <c r="C272" s="4" t="s">
        <v>11</v>
      </c>
      <c r="D272" s="4" t="s">
        <v>533</v>
      </c>
      <c r="E272" s="18" t="s">
        <v>544</v>
      </c>
      <c r="F272" s="18" t="s">
        <v>545</v>
      </c>
      <c r="G272" s="10" t="s">
        <v>83</v>
      </c>
      <c r="H272" s="10" t="s">
        <v>20</v>
      </c>
      <c r="I272" s="11">
        <v>5</v>
      </c>
      <c r="J272" s="11">
        <v>5</v>
      </c>
      <c r="K272" s="11"/>
      <c r="L272"/>
      <c r="M272"/>
      <c r="N272"/>
      <c r="O272"/>
      <c r="P272"/>
      <c r="Q272"/>
      <c r="R272"/>
    </row>
    <row r="273" spans="1:18" s="7" customFormat="1" ht="41.4" x14ac:dyDescent="0.3">
      <c r="A273" s="24">
        <v>261</v>
      </c>
      <c r="B273" s="3">
        <v>7</v>
      </c>
      <c r="C273" s="4" t="s">
        <v>11</v>
      </c>
      <c r="D273" s="4" t="s">
        <v>533</v>
      </c>
      <c r="E273" s="18" t="s">
        <v>546</v>
      </c>
      <c r="F273" s="18" t="s">
        <v>547</v>
      </c>
      <c r="G273" s="10" t="s">
        <v>83</v>
      </c>
      <c r="H273" s="10" t="s">
        <v>20</v>
      </c>
      <c r="I273" s="11">
        <v>5</v>
      </c>
      <c r="J273" s="11">
        <v>5</v>
      </c>
      <c r="K273" s="11"/>
      <c r="L273"/>
      <c r="M273"/>
      <c r="N273"/>
      <c r="O273"/>
      <c r="P273"/>
      <c r="Q273"/>
      <c r="R273"/>
    </row>
    <row r="274" spans="1:18" s="7" customFormat="1" ht="41.4" x14ac:dyDescent="0.3">
      <c r="A274" s="24">
        <v>262</v>
      </c>
      <c r="B274" s="3">
        <v>8</v>
      </c>
      <c r="C274" s="4" t="s">
        <v>11</v>
      </c>
      <c r="D274" s="4" t="s">
        <v>533</v>
      </c>
      <c r="E274" s="18" t="s">
        <v>548</v>
      </c>
      <c r="F274" s="18" t="s">
        <v>549</v>
      </c>
      <c r="G274" s="10" t="s">
        <v>83</v>
      </c>
      <c r="H274" s="10" t="s">
        <v>20</v>
      </c>
      <c r="I274" s="11">
        <v>5</v>
      </c>
      <c r="J274" s="11">
        <v>5</v>
      </c>
      <c r="K274" s="11"/>
      <c r="L274"/>
      <c r="M274"/>
      <c r="N274"/>
      <c r="O274"/>
      <c r="P274"/>
      <c r="Q274"/>
      <c r="R274"/>
    </row>
    <row r="275" spans="1:18" s="7" customFormat="1" ht="41.4" x14ac:dyDescent="0.3">
      <c r="A275" s="24">
        <v>263</v>
      </c>
      <c r="B275" s="3">
        <v>9</v>
      </c>
      <c r="C275" s="4" t="s">
        <v>11</v>
      </c>
      <c r="D275" s="4" t="s">
        <v>533</v>
      </c>
      <c r="E275" s="18" t="s">
        <v>550</v>
      </c>
      <c r="F275" s="18" t="s">
        <v>551</v>
      </c>
      <c r="G275" s="10" t="s">
        <v>83</v>
      </c>
      <c r="H275" s="10" t="s">
        <v>20</v>
      </c>
      <c r="I275" s="11">
        <v>5</v>
      </c>
      <c r="J275" s="11">
        <v>5</v>
      </c>
      <c r="K275" s="11"/>
      <c r="L275"/>
      <c r="M275"/>
      <c r="N275"/>
      <c r="O275"/>
      <c r="P275"/>
      <c r="Q275"/>
      <c r="R275"/>
    </row>
    <row r="276" spans="1:18" s="7" customFormat="1" ht="55.2" x14ac:dyDescent="0.3">
      <c r="A276" s="24">
        <v>264</v>
      </c>
      <c r="B276" s="3">
        <v>10</v>
      </c>
      <c r="C276" s="4" t="s">
        <v>11</v>
      </c>
      <c r="D276" s="4" t="s">
        <v>533</v>
      </c>
      <c r="E276" s="18" t="s">
        <v>552</v>
      </c>
      <c r="F276" s="18" t="s">
        <v>553</v>
      </c>
      <c r="G276" s="10" t="s">
        <v>83</v>
      </c>
      <c r="H276" s="10" t="s">
        <v>20</v>
      </c>
      <c r="I276" s="11">
        <v>5</v>
      </c>
      <c r="J276" s="11">
        <v>5</v>
      </c>
      <c r="K276" s="11"/>
      <c r="L276"/>
      <c r="M276"/>
      <c r="N276"/>
      <c r="O276"/>
      <c r="P276"/>
      <c r="Q276"/>
      <c r="R276"/>
    </row>
    <row r="277" spans="1:18" s="7" customFormat="1" ht="41.4" x14ac:dyDescent="0.3">
      <c r="A277" s="24">
        <v>265</v>
      </c>
      <c r="B277" s="3">
        <v>11</v>
      </c>
      <c r="C277" s="4" t="s">
        <v>11</v>
      </c>
      <c r="D277" s="4" t="s">
        <v>533</v>
      </c>
      <c r="E277" s="18" t="s">
        <v>554</v>
      </c>
      <c r="F277" s="18" t="s">
        <v>555</v>
      </c>
      <c r="G277" s="10" t="s">
        <v>83</v>
      </c>
      <c r="H277" s="10" t="s">
        <v>20</v>
      </c>
      <c r="I277" s="11">
        <v>5</v>
      </c>
      <c r="J277" s="11">
        <v>5</v>
      </c>
      <c r="K277" s="11"/>
      <c r="L277"/>
      <c r="M277"/>
      <c r="N277"/>
      <c r="O277"/>
      <c r="P277"/>
      <c r="Q277"/>
      <c r="R277"/>
    </row>
    <row r="278" spans="1:18" s="7" customFormat="1" ht="55.2" x14ac:dyDescent="0.3">
      <c r="A278" s="24">
        <v>266</v>
      </c>
      <c r="B278" s="3">
        <v>12</v>
      </c>
      <c r="C278" s="4" t="s">
        <v>11</v>
      </c>
      <c r="D278" s="4" t="s">
        <v>533</v>
      </c>
      <c r="E278" s="18" t="s">
        <v>556</v>
      </c>
      <c r="F278" s="18" t="s">
        <v>557</v>
      </c>
      <c r="G278" s="10" t="s">
        <v>83</v>
      </c>
      <c r="H278" s="10" t="s">
        <v>20</v>
      </c>
      <c r="I278" s="11">
        <v>5</v>
      </c>
      <c r="J278" s="11">
        <v>5</v>
      </c>
      <c r="K278" s="11"/>
      <c r="L278"/>
      <c r="M278"/>
      <c r="N278"/>
      <c r="O278"/>
      <c r="P278"/>
      <c r="Q278"/>
      <c r="R278"/>
    </row>
    <row r="279" spans="1:18" s="7" customFormat="1" ht="41.4" x14ac:dyDescent="0.3">
      <c r="A279" s="24">
        <v>267</v>
      </c>
      <c r="B279" s="3">
        <v>13</v>
      </c>
      <c r="C279" s="4" t="s">
        <v>11</v>
      </c>
      <c r="D279" s="4" t="s">
        <v>533</v>
      </c>
      <c r="E279" s="18" t="s">
        <v>558</v>
      </c>
      <c r="F279" s="18" t="s">
        <v>559</v>
      </c>
      <c r="G279" s="10" t="s">
        <v>83</v>
      </c>
      <c r="H279" s="10" t="s">
        <v>20</v>
      </c>
      <c r="I279" s="11">
        <v>4</v>
      </c>
      <c r="J279" s="11">
        <v>4</v>
      </c>
      <c r="K279" s="11"/>
      <c r="L279"/>
      <c r="M279"/>
      <c r="N279"/>
      <c r="O279"/>
      <c r="P279"/>
      <c r="Q279"/>
      <c r="R279"/>
    </row>
    <row r="280" spans="1:18" s="7" customFormat="1" ht="41.4" x14ac:dyDescent="0.3">
      <c r="A280" s="24">
        <v>268</v>
      </c>
      <c r="B280" s="3">
        <v>14</v>
      </c>
      <c r="C280" s="4" t="s">
        <v>11</v>
      </c>
      <c r="D280" s="4" t="s">
        <v>533</v>
      </c>
      <c r="E280" s="18" t="s">
        <v>560</v>
      </c>
      <c r="F280" s="18" t="s">
        <v>561</v>
      </c>
      <c r="G280" s="10" t="s">
        <v>83</v>
      </c>
      <c r="H280" s="10" t="s">
        <v>20</v>
      </c>
      <c r="I280" s="11">
        <v>4</v>
      </c>
      <c r="J280" s="11">
        <v>4</v>
      </c>
      <c r="K280" s="11"/>
      <c r="L280"/>
      <c r="M280"/>
      <c r="N280"/>
      <c r="O280"/>
      <c r="P280"/>
      <c r="Q280"/>
      <c r="R280"/>
    </row>
    <row r="281" spans="1:18" s="7" customFormat="1" ht="41.4" x14ac:dyDescent="0.3">
      <c r="A281" s="24">
        <v>269</v>
      </c>
      <c r="B281" s="3">
        <v>15</v>
      </c>
      <c r="C281" s="4" t="s">
        <v>11</v>
      </c>
      <c r="D281" s="4" t="s">
        <v>533</v>
      </c>
      <c r="E281" s="18" t="s">
        <v>562</v>
      </c>
      <c r="F281" s="18" t="s">
        <v>563</v>
      </c>
      <c r="G281" s="10" t="s">
        <v>83</v>
      </c>
      <c r="H281" s="10" t="s">
        <v>20</v>
      </c>
      <c r="I281" s="11">
        <v>4</v>
      </c>
      <c r="J281" s="11">
        <v>4</v>
      </c>
      <c r="K281" s="11"/>
      <c r="L281"/>
      <c r="M281"/>
      <c r="N281"/>
      <c r="O281"/>
      <c r="P281"/>
      <c r="Q281"/>
      <c r="R281"/>
    </row>
    <row r="282" spans="1:18" s="7" customFormat="1" ht="55.2" x14ac:dyDescent="0.3">
      <c r="A282" s="24">
        <v>270</v>
      </c>
      <c r="B282" s="3">
        <v>16</v>
      </c>
      <c r="C282" s="4" t="s">
        <v>11</v>
      </c>
      <c r="D282" s="4" t="s">
        <v>533</v>
      </c>
      <c r="E282" s="18" t="s">
        <v>564</v>
      </c>
      <c r="F282" s="18" t="s">
        <v>565</v>
      </c>
      <c r="G282" s="10" t="s">
        <v>83</v>
      </c>
      <c r="H282" s="10" t="s">
        <v>20</v>
      </c>
      <c r="I282" s="11">
        <v>4</v>
      </c>
      <c r="J282" s="11">
        <v>4</v>
      </c>
      <c r="K282" s="11"/>
      <c r="L282"/>
      <c r="M282"/>
      <c r="N282"/>
      <c r="O282"/>
      <c r="P282"/>
      <c r="Q282"/>
      <c r="R282"/>
    </row>
    <row r="283" spans="1:18" s="7" customFormat="1" ht="55.2" x14ac:dyDescent="0.3">
      <c r="A283" s="24">
        <v>271</v>
      </c>
      <c r="B283" s="3">
        <v>17</v>
      </c>
      <c r="C283" s="4" t="s">
        <v>11</v>
      </c>
      <c r="D283" s="4" t="s">
        <v>533</v>
      </c>
      <c r="E283" s="18" t="s">
        <v>566</v>
      </c>
      <c r="F283" s="18" t="s">
        <v>567</v>
      </c>
      <c r="G283" s="10" t="s">
        <v>83</v>
      </c>
      <c r="H283" s="10" t="s">
        <v>20</v>
      </c>
      <c r="I283" s="11">
        <v>4</v>
      </c>
      <c r="J283" s="11">
        <v>4</v>
      </c>
      <c r="K283" s="11"/>
      <c r="L283"/>
      <c r="M283"/>
      <c r="N283"/>
      <c r="O283"/>
      <c r="P283"/>
      <c r="Q283"/>
      <c r="R283"/>
    </row>
    <row r="284" spans="1:18" s="7" customFormat="1" ht="41.4" x14ac:dyDescent="0.3">
      <c r="A284" s="24">
        <v>272</v>
      </c>
      <c r="B284" s="3">
        <v>18</v>
      </c>
      <c r="C284" s="4" t="s">
        <v>11</v>
      </c>
      <c r="D284" s="4" t="s">
        <v>533</v>
      </c>
      <c r="E284" s="18" t="s">
        <v>568</v>
      </c>
      <c r="F284" s="18" t="s">
        <v>569</v>
      </c>
      <c r="G284" s="10" t="s">
        <v>83</v>
      </c>
      <c r="H284" s="10" t="s">
        <v>20</v>
      </c>
      <c r="I284" s="11">
        <v>3</v>
      </c>
      <c r="J284" s="11">
        <v>3</v>
      </c>
      <c r="K284" s="11"/>
      <c r="L284"/>
      <c r="M284"/>
      <c r="N284"/>
      <c r="O284"/>
      <c r="P284"/>
      <c r="Q284"/>
      <c r="R284"/>
    </row>
    <row r="285" spans="1:18" s="7" customFormat="1" ht="41.4" x14ac:dyDescent="0.3">
      <c r="A285" s="24">
        <v>273</v>
      </c>
      <c r="B285" s="3">
        <v>19</v>
      </c>
      <c r="C285" s="4" t="s">
        <v>11</v>
      </c>
      <c r="D285" s="4" t="s">
        <v>533</v>
      </c>
      <c r="E285" s="18" t="s">
        <v>570</v>
      </c>
      <c r="F285" s="18" t="s">
        <v>571</v>
      </c>
      <c r="G285" s="10" t="s">
        <v>83</v>
      </c>
      <c r="H285" s="10" t="s">
        <v>20</v>
      </c>
      <c r="I285" s="11">
        <v>3</v>
      </c>
      <c r="J285" s="11">
        <v>3</v>
      </c>
      <c r="K285" s="11"/>
      <c r="L285"/>
      <c r="M285"/>
      <c r="N285"/>
      <c r="O285"/>
      <c r="P285"/>
      <c r="Q285"/>
      <c r="R285"/>
    </row>
    <row r="286" spans="1:18" s="7" customFormat="1" ht="55.2" x14ac:dyDescent="0.3">
      <c r="A286" s="24">
        <v>274</v>
      </c>
      <c r="B286" s="3">
        <v>20</v>
      </c>
      <c r="C286" s="4" t="s">
        <v>11</v>
      </c>
      <c r="D286" s="4" t="s">
        <v>533</v>
      </c>
      <c r="E286" s="18" t="s">
        <v>572</v>
      </c>
      <c r="F286" s="18" t="s">
        <v>573</v>
      </c>
      <c r="G286" s="10" t="s">
        <v>83</v>
      </c>
      <c r="H286" s="10" t="s">
        <v>20</v>
      </c>
      <c r="I286" s="11">
        <v>3</v>
      </c>
      <c r="J286" s="11">
        <v>3</v>
      </c>
      <c r="K286" s="11"/>
      <c r="L286"/>
      <c r="M286"/>
      <c r="N286"/>
      <c r="O286"/>
      <c r="P286"/>
      <c r="Q286"/>
      <c r="R286"/>
    </row>
    <row r="287" spans="1:18" s="7" customFormat="1" ht="41.4" x14ac:dyDescent="0.3">
      <c r="A287" s="24">
        <v>275</v>
      </c>
      <c r="B287" s="3">
        <v>21</v>
      </c>
      <c r="C287" s="4" t="s">
        <v>11</v>
      </c>
      <c r="D287" s="4" t="s">
        <v>533</v>
      </c>
      <c r="E287" s="18" t="s">
        <v>574</v>
      </c>
      <c r="F287" s="18" t="s">
        <v>575</v>
      </c>
      <c r="G287" s="10" t="s">
        <v>83</v>
      </c>
      <c r="H287" s="10" t="s">
        <v>20</v>
      </c>
      <c r="I287" s="11">
        <v>2</v>
      </c>
      <c r="J287" s="11">
        <v>2</v>
      </c>
      <c r="K287" s="11"/>
      <c r="L287"/>
      <c r="M287"/>
      <c r="N287"/>
      <c r="O287"/>
      <c r="P287"/>
      <c r="Q287"/>
      <c r="R287"/>
    </row>
    <row r="288" spans="1:18" s="7" customFormat="1" ht="55.2" x14ac:dyDescent="0.3">
      <c r="A288" s="24">
        <v>276</v>
      </c>
      <c r="B288" s="3">
        <v>22</v>
      </c>
      <c r="C288" s="4" t="s">
        <v>11</v>
      </c>
      <c r="D288" s="4" t="s">
        <v>533</v>
      </c>
      <c r="E288" s="18" t="s">
        <v>576</v>
      </c>
      <c r="F288" s="18" t="s">
        <v>577</v>
      </c>
      <c r="G288" s="10" t="s">
        <v>83</v>
      </c>
      <c r="H288" s="10" t="s">
        <v>20</v>
      </c>
      <c r="I288" s="11">
        <v>2</v>
      </c>
      <c r="J288" s="11">
        <v>2</v>
      </c>
      <c r="K288" s="11"/>
      <c r="L288"/>
      <c r="M288"/>
      <c r="N288"/>
      <c r="O288"/>
      <c r="P288"/>
      <c r="Q288"/>
      <c r="R288"/>
    </row>
    <row r="289" spans="1:18" s="7" customFormat="1" ht="55.2" x14ac:dyDescent="0.3">
      <c r="A289" s="24">
        <v>277</v>
      </c>
      <c r="B289" s="12">
        <v>1</v>
      </c>
      <c r="C289" s="4" t="s">
        <v>11</v>
      </c>
      <c r="D289" s="4" t="s">
        <v>578</v>
      </c>
      <c r="E289" s="15" t="s">
        <v>579</v>
      </c>
      <c r="F289" s="15" t="s">
        <v>580</v>
      </c>
      <c r="G289" s="16" t="s">
        <v>127</v>
      </c>
      <c r="H289" s="16" t="s">
        <v>16</v>
      </c>
      <c r="I289" s="17" t="s">
        <v>17</v>
      </c>
      <c r="J289" s="17" t="s">
        <v>17</v>
      </c>
      <c r="K289" s="17"/>
      <c r="L289"/>
      <c r="M289"/>
      <c r="N289"/>
      <c r="O289"/>
      <c r="P289"/>
      <c r="Q289"/>
      <c r="R289"/>
    </row>
    <row r="290" spans="1:18" s="7" customFormat="1" ht="41.4" x14ac:dyDescent="0.3">
      <c r="A290" s="24">
        <v>278</v>
      </c>
      <c r="B290" s="12">
        <v>2</v>
      </c>
      <c r="C290" s="4" t="s">
        <v>11</v>
      </c>
      <c r="D290" s="4" t="s">
        <v>578</v>
      </c>
      <c r="E290" s="15" t="s">
        <v>581</v>
      </c>
      <c r="F290" s="15" t="s">
        <v>582</v>
      </c>
      <c r="G290" s="16" t="s">
        <v>127</v>
      </c>
      <c r="H290" s="16" t="s">
        <v>20</v>
      </c>
      <c r="I290" s="17">
        <v>5</v>
      </c>
      <c r="J290" s="17">
        <v>5</v>
      </c>
      <c r="K290" s="17"/>
      <c r="L290"/>
      <c r="M290"/>
      <c r="N290"/>
      <c r="O290"/>
      <c r="P290"/>
      <c r="Q290"/>
      <c r="R290"/>
    </row>
    <row r="291" spans="1:18" s="7" customFormat="1" ht="55.2" x14ac:dyDescent="0.3">
      <c r="A291" s="24">
        <v>279</v>
      </c>
      <c r="B291" s="12">
        <v>3</v>
      </c>
      <c r="C291" s="4" t="s">
        <v>11</v>
      </c>
      <c r="D291" s="4" t="s">
        <v>578</v>
      </c>
      <c r="E291" s="15" t="s">
        <v>583</v>
      </c>
      <c r="F291" s="15" t="s">
        <v>584</v>
      </c>
      <c r="G291" s="16" t="s">
        <v>127</v>
      </c>
      <c r="H291" s="16" t="s">
        <v>20</v>
      </c>
      <c r="I291" s="17">
        <v>5</v>
      </c>
      <c r="J291" s="17">
        <v>5</v>
      </c>
      <c r="K291" s="17"/>
      <c r="L291"/>
      <c r="M291"/>
      <c r="N291"/>
      <c r="O291"/>
      <c r="P291"/>
      <c r="Q291"/>
      <c r="R291"/>
    </row>
    <row r="292" spans="1:18" s="7" customFormat="1" ht="41.4" x14ac:dyDescent="0.3">
      <c r="A292" s="24">
        <v>280</v>
      </c>
      <c r="B292" s="12">
        <v>4</v>
      </c>
      <c r="C292" s="4" t="s">
        <v>11</v>
      </c>
      <c r="D292" s="4" t="s">
        <v>578</v>
      </c>
      <c r="E292" s="15" t="s">
        <v>585</v>
      </c>
      <c r="F292" s="15" t="s">
        <v>586</v>
      </c>
      <c r="G292" s="16" t="s">
        <v>127</v>
      </c>
      <c r="H292" s="16" t="s">
        <v>20</v>
      </c>
      <c r="I292" s="17">
        <v>4</v>
      </c>
      <c r="J292" s="17">
        <v>4</v>
      </c>
      <c r="K292" s="17"/>
      <c r="L292"/>
      <c r="M292"/>
      <c r="N292"/>
      <c r="O292"/>
      <c r="P292"/>
      <c r="Q292"/>
      <c r="R292"/>
    </row>
    <row r="293" spans="1:18" s="7" customFormat="1" ht="55.2" x14ac:dyDescent="0.3">
      <c r="A293" s="24">
        <v>281</v>
      </c>
      <c r="B293" s="12">
        <v>5</v>
      </c>
      <c r="C293" s="4" t="s">
        <v>11</v>
      </c>
      <c r="D293" s="4" t="s">
        <v>578</v>
      </c>
      <c r="E293" s="15" t="s">
        <v>587</v>
      </c>
      <c r="F293" s="15" t="s">
        <v>588</v>
      </c>
      <c r="G293" s="16" t="s">
        <v>127</v>
      </c>
      <c r="H293" s="16" t="s">
        <v>20</v>
      </c>
      <c r="I293" s="17">
        <v>3</v>
      </c>
      <c r="J293" s="17">
        <v>3</v>
      </c>
      <c r="K293" s="17"/>
      <c r="L293"/>
      <c r="M293"/>
      <c r="N293"/>
      <c r="O293"/>
      <c r="P293"/>
      <c r="Q293"/>
      <c r="R293"/>
    </row>
    <row r="294" spans="1:18" s="7" customFormat="1" ht="41.4" x14ac:dyDescent="0.3">
      <c r="A294" s="24">
        <v>282</v>
      </c>
      <c r="B294" s="12">
        <v>6</v>
      </c>
      <c r="C294" s="4" t="s">
        <v>11</v>
      </c>
      <c r="D294" s="4" t="s">
        <v>578</v>
      </c>
      <c r="E294" s="15" t="s">
        <v>589</v>
      </c>
      <c r="F294" s="15" t="s">
        <v>590</v>
      </c>
      <c r="G294" s="16" t="s">
        <v>127</v>
      </c>
      <c r="H294" s="16" t="s">
        <v>20</v>
      </c>
      <c r="I294" s="17">
        <v>2</v>
      </c>
      <c r="J294" s="17">
        <v>2</v>
      </c>
      <c r="K294" s="17"/>
      <c r="L294"/>
      <c r="M294"/>
      <c r="N294"/>
      <c r="O294"/>
      <c r="P294"/>
      <c r="Q294"/>
      <c r="R294"/>
    </row>
    <row r="295" spans="1:18" s="7" customFormat="1" ht="41.4" x14ac:dyDescent="0.3">
      <c r="A295" s="24">
        <v>283</v>
      </c>
      <c r="B295" s="12">
        <v>7</v>
      </c>
      <c r="C295" s="4" t="s">
        <v>11</v>
      </c>
      <c r="D295" s="4" t="s">
        <v>578</v>
      </c>
      <c r="E295" s="18" t="s">
        <v>591</v>
      </c>
      <c r="F295" s="18" t="s">
        <v>592</v>
      </c>
      <c r="G295" s="10" t="s">
        <v>83</v>
      </c>
      <c r="H295" s="10" t="s">
        <v>20</v>
      </c>
      <c r="I295" s="11">
        <v>5</v>
      </c>
      <c r="J295" s="11">
        <v>5</v>
      </c>
      <c r="K295" s="11"/>
      <c r="L295"/>
      <c r="M295"/>
      <c r="N295"/>
      <c r="O295"/>
      <c r="P295"/>
      <c r="Q295"/>
      <c r="R295"/>
    </row>
    <row r="296" spans="1:18" s="7" customFormat="1" ht="41.4" x14ac:dyDescent="0.3">
      <c r="A296" s="24">
        <v>284</v>
      </c>
      <c r="B296" s="12">
        <v>8</v>
      </c>
      <c r="C296" s="4" t="s">
        <v>11</v>
      </c>
      <c r="D296" s="4" t="s">
        <v>578</v>
      </c>
      <c r="E296" s="18" t="s">
        <v>593</v>
      </c>
      <c r="F296" s="18" t="s">
        <v>594</v>
      </c>
      <c r="G296" s="10" t="s">
        <v>83</v>
      </c>
      <c r="H296" s="10" t="s">
        <v>20</v>
      </c>
      <c r="I296" s="11">
        <v>5</v>
      </c>
      <c r="J296" s="11">
        <v>5</v>
      </c>
      <c r="K296" s="11"/>
      <c r="L296"/>
      <c r="M296"/>
      <c r="N296"/>
      <c r="O296"/>
      <c r="P296"/>
      <c r="Q296"/>
      <c r="R296"/>
    </row>
    <row r="297" spans="1:18" s="7" customFormat="1" ht="41.4" x14ac:dyDescent="0.3">
      <c r="A297" s="24">
        <v>285</v>
      </c>
      <c r="B297" s="12">
        <v>9</v>
      </c>
      <c r="C297" s="4" t="s">
        <v>11</v>
      </c>
      <c r="D297" s="4" t="s">
        <v>578</v>
      </c>
      <c r="E297" s="18" t="s">
        <v>595</v>
      </c>
      <c r="F297" s="18" t="s">
        <v>596</v>
      </c>
      <c r="G297" s="10" t="s">
        <v>83</v>
      </c>
      <c r="H297" s="10" t="s">
        <v>20</v>
      </c>
      <c r="I297" s="11">
        <v>5</v>
      </c>
      <c r="J297" s="11">
        <v>5</v>
      </c>
      <c r="K297" s="11"/>
      <c r="L297"/>
      <c r="M297"/>
      <c r="N297"/>
      <c r="O297"/>
      <c r="P297"/>
      <c r="Q297"/>
      <c r="R297"/>
    </row>
    <row r="298" spans="1:18" s="7" customFormat="1" ht="41.4" x14ac:dyDescent="0.3">
      <c r="A298" s="24">
        <v>286</v>
      </c>
      <c r="B298" s="12">
        <v>10</v>
      </c>
      <c r="C298" s="4" t="s">
        <v>11</v>
      </c>
      <c r="D298" s="4" t="s">
        <v>578</v>
      </c>
      <c r="E298" s="18" t="s">
        <v>597</v>
      </c>
      <c r="F298" s="18" t="s">
        <v>598</v>
      </c>
      <c r="G298" s="10" t="s">
        <v>83</v>
      </c>
      <c r="H298" s="10" t="s">
        <v>20</v>
      </c>
      <c r="I298" s="11">
        <v>5</v>
      </c>
      <c r="J298" s="11">
        <v>5</v>
      </c>
      <c r="K298" s="11"/>
      <c r="L298"/>
      <c r="M298"/>
      <c r="N298"/>
      <c r="O298"/>
      <c r="P298"/>
      <c r="Q298"/>
      <c r="R298"/>
    </row>
    <row r="299" spans="1:18" s="7" customFormat="1" ht="41.4" x14ac:dyDescent="0.3">
      <c r="A299" s="24">
        <v>287</v>
      </c>
      <c r="B299" s="12">
        <v>11</v>
      </c>
      <c r="C299" s="4" t="s">
        <v>11</v>
      </c>
      <c r="D299" s="4" t="s">
        <v>578</v>
      </c>
      <c r="E299" s="18" t="s">
        <v>599</v>
      </c>
      <c r="F299" s="18" t="s">
        <v>600</v>
      </c>
      <c r="G299" s="10" t="s">
        <v>83</v>
      </c>
      <c r="H299" s="10" t="s">
        <v>20</v>
      </c>
      <c r="I299" s="11">
        <v>5</v>
      </c>
      <c r="J299" s="11">
        <v>5</v>
      </c>
      <c r="K299" s="11"/>
      <c r="L299"/>
      <c r="M299"/>
      <c r="N299"/>
      <c r="O299"/>
      <c r="P299"/>
      <c r="Q299"/>
      <c r="R299"/>
    </row>
    <row r="300" spans="1:18" s="7" customFormat="1" ht="41.4" x14ac:dyDescent="0.3">
      <c r="A300" s="24">
        <v>288</v>
      </c>
      <c r="B300" s="12">
        <v>12</v>
      </c>
      <c r="C300" s="4" t="s">
        <v>11</v>
      </c>
      <c r="D300" s="4" t="s">
        <v>578</v>
      </c>
      <c r="E300" s="18" t="s">
        <v>601</v>
      </c>
      <c r="F300" s="18" t="s">
        <v>602</v>
      </c>
      <c r="G300" s="10" t="s">
        <v>83</v>
      </c>
      <c r="H300" s="10" t="s">
        <v>20</v>
      </c>
      <c r="I300" s="11">
        <v>5</v>
      </c>
      <c r="J300" s="11">
        <v>5</v>
      </c>
      <c r="K300" s="11"/>
      <c r="L300"/>
      <c r="M300"/>
      <c r="N300"/>
      <c r="O300"/>
      <c r="P300"/>
      <c r="Q300"/>
      <c r="R300"/>
    </row>
    <row r="301" spans="1:18" s="7" customFormat="1" ht="55.2" x14ac:dyDescent="0.3">
      <c r="A301" s="24">
        <v>289</v>
      </c>
      <c r="B301" s="12">
        <v>13</v>
      </c>
      <c r="C301" s="4" t="s">
        <v>11</v>
      </c>
      <c r="D301" s="4" t="s">
        <v>578</v>
      </c>
      <c r="E301" s="18" t="s">
        <v>603</v>
      </c>
      <c r="F301" s="18" t="s">
        <v>604</v>
      </c>
      <c r="G301" s="10" t="s">
        <v>83</v>
      </c>
      <c r="H301" s="10" t="s">
        <v>20</v>
      </c>
      <c r="I301" s="11">
        <v>4</v>
      </c>
      <c r="J301" s="11">
        <v>4</v>
      </c>
      <c r="K301" s="11"/>
      <c r="L301"/>
      <c r="M301"/>
      <c r="N301"/>
      <c r="O301"/>
      <c r="P301"/>
      <c r="Q301"/>
      <c r="R301"/>
    </row>
    <row r="302" spans="1:18" s="7" customFormat="1" ht="41.4" x14ac:dyDescent="0.3">
      <c r="A302" s="24">
        <v>290</v>
      </c>
      <c r="B302" s="12">
        <v>14</v>
      </c>
      <c r="C302" s="4" t="s">
        <v>11</v>
      </c>
      <c r="D302" s="4" t="s">
        <v>578</v>
      </c>
      <c r="E302" s="18" t="s">
        <v>605</v>
      </c>
      <c r="F302" s="18" t="s">
        <v>606</v>
      </c>
      <c r="G302" s="10" t="s">
        <v>83</v>
      </c>
      <c r="H302" s="10" t="s">
        <v>20</v>
      </c>
      <c r="I302" s="11">
        <v>4</v>
      </c>
      <c r="J302" s="11">
        <v>4</v>
      </c>
      <c r="K302" s="11"/>
      <c r="L302"/>
      <c r="M302"/>
      <c r="N302"/>
      <c r="O302"/>
      <c r="P302"/>
      <c r="Q302"/>
      <c r="R302"/>
    </row>
    <row r="303" spans="1:18" s="7" customFormat="1" ht="41.4" x14ac:dyDescent="0.3">
      <c r="A303" s="24">
        <v>291</v>
      </c>
      <c r="B303" s="12">
        <v>15</v>
      </c>
      <c r="C303" s="4" t="s">
        <v>11</v>
      </c>
      <c r="D303" s="4" t="s">
        <v>578</v>
      </c>
      <c r="E303" s="18" t="s">
        <v>607</v>
      </c>
      <c r="F303" s="18" t="s">
        <v>608</v>
      </c>
      <c r="G303" s="10" t="s">
        <v>83</v>
      </c>
      <c r="H303" s="10" t="s">
        <v>20</v>
      </c>
      <c r="I303" s="11">
        <v>4</v>
      </c>
      <c r="J303" s="11">
        <v>4</v>
      </c>
      <c r="K303" s="11"/>
      <c r="L303"/>
      <c r="M303"/>
      <c r="N303"/>
      <c r="O303"/>
      <c r="P303"/>
      <c r="Q303"/>
      <c r="R303"/>
    </row>
    <row r="304" spans="1:18" s="7" customFormat="1" ht="41.4" x14ac:dyDescent="0.3">
      <c r="A304" s="24">
        <v>292</v>
      </c>
      <c r="B304" s="12">
        <v>16</v>
      </c>
      <c r="C304" s="4" t="s">
        <v>11</v>
      </c>
      <c r="D304" s="4" t="s">
        <v>578</v>
      </c>
      <c r="E304" s="18" t="s">
        <v>609</v>
      </c>
      <c r="F304" s="18" t="s">
        <v>610</v>
      </c>
      <c r="G304" s="10" t="s">
        <v>83</v>
      </c>
      <c r="H304" s="10" t="s">
        <v>20</v>
      </c>
      <c r="I304" s="11">
        <v>4</v>
      </c>
      <c r="J304" s="11">
        <v>4</v>
      </c>
      <c r="K304" s="11"/>
      <c r="L304"/>
      <c r="M304"/>
      <c r="N304"/>
      <c r="O304"/>
      <c r="P304"/>
      <c r="Q304"/>
      <c r="R304"/>
    </row>
    <row r="305" spans="1:18" s="7" customFormat="1" ht="41.4" x14ac:dyDescent="0.3">
      <c r="A305" s="24">
        <v>293</v>
      </c>
      <c r="B305" s="12">
        <v>17</v>
      </c>
      <c r="C305" s="4" t="s">
        <v>11</v>
      </c>
      <c r="D305" s="4" t="s">
        <v>578</v>
      </c>
      <c r="E305" s="18" t="s">
        <v>611</v>
      </c>
      <c r="F305" s="18" t="s">
        <v>612</v>
      </c>
      <c r="G305" s="10" t="s">
        <v>83</v>
      </c>
      <c r="H305" s="10" t="s">
        <v>20</v>
      </c>
      <c r="I305" s="11">
        <v>4</v>
      </c>
      <c r="J305" s="11">
        <v>4</v>
      </c>
      <c r="K305" s="11"/>
      <c r="L305"/>
      <c r="M305"/>
      <c r="N305"/>
      <c r="O305"/>
      <c r="P305"/>
      <c r="Q305"/>
      <c r="R305"/>
    </row>
    <row r="306" spans="1:18" s="7" customFormat="1" ht="41.4" x14ac:dyDescent="0.3">
      <c r="A306" s="24">
        <v>294</v>
      </c>
      <c r="B306" s="12">
        <v>18</v>
      </c>
      <c r="C306" s="4" t="s">
        <v>11</v>
      </c>
      <c r="D306" s="4" t="s">
        <v>578</v>
      </c>
      <c r="E306" s="18" t="s">
        <v>613</v>
      </c>
      <c r="F306" s="18" t="s">
        <v>614</v>
      </c>
      <c r="G306" s="10" t="s">
        <v>83</v>
      </c>
      <c r="H306" s="10" t="s">
        <v>20</v>
      </c>
      <c r="I306" s="11">
        <v>4</v>
      </c>
      <c r="J306" s="11">
        <v>4</v>
      </c>
      <c r="K306" s="11"/>
      <c r="L306"/>
      <c r="M306"/>
      <c r="N306"/>
      <c r="O306"/>
      <c r="P306"/>
      <c r="Q306"/>
      <c r="R306"/>
    </row>
    <row r="307" spans="1:18" s="7" customFormat="1" ht="41.4" x14ac:dyDescent="0.3">
      <c r="A307" s="24">
        <v>295</v>
      </c>
      <c r="B307" s="12">
        <v>19</v>
      </c>
      <c r="C307" s="4" t="s">
        <v>11</v>
      </c>
      <c r="D307" s="4" t="s">
        <v>578</v>
      </c>
      <c r="E307" s="18" t="s">
        <v>615</v>
      </c>
      <c r="F307" s="18" t="s">
        <v>616</v>
      </c>
      <c r="G307" s="10" t="s">
        <v>83</v>
      </c>
      <c r="H307" s="10" t="s">
        <v>20</v>
      </c>
      <c r="I307" s="11">
        <v>3</v>
      </c>
      <c r="J307" s="11">
        <v>3</v>
      </c>
      <c r="K307" s="11"/>
      <c r="L307"/>
      <c r="M307"/>
      <c r="N307"/>
      <c r="O307"/>
      <c r="P307"/>
      <c r="Q307"/>
      <c r="R307"/>
    </row>
    <row r="308" spans="1:18" s="7" customFormat="1" ht="41.4" x14ac:dyDescent="0.3">
      <c r="A308" s="24">
        <v>296</v>
      </c>
      <c r="B308" s="12">
        <v>20</v>
      </c>
      <c r="C308" s="4" t="s">
        <v>11</v>
      </c>
      <c r="D308" s="4" t="s">
        <v>578</v>
      </c>
      <c r="E308" s="18" t="s">
        <v>617</v>
      </c>
      <c r="F308" s="18" t="s">
        <v>618</v>
      </c>
      <c r="G308" s="10" t="s">
        <v>83</v>
      </c>
      <c r="H308" s="10" t="s">
        <v>20</v>
      </c>
      <c r="I308" s="11">
        <v>3</v>
      </c>
      <c r="J308" s="11">
        <v>3</v>
      </c>
      <c r="K308" s="11"/>
      <c r="L308"/>
      <c r="M308"/>
      <c r="N308"/>
      <c r="O308"/>
      <c r="P308"/>
      <c r="Q308"/>
      <c r="R308"/>
    </row>
    <row r="309" spans="1:18" s="7" customFormat="1" ht="41.4" x14ac:dyDescent="0.3">
      <c r="A309" s="24">
        <v>297</v>
      </c>
      <c r="B309" s="12">
        <v>21</v>
      </c>
      <c r="C309" s="4" t="s">
        <v>11</v>
      </c>
      <c r="D309" s="4" t="s">
        <v>578</v>
      </c>
      <c r="E309" s="18" t="s">
        <v>619</v>
      </c>
      <c r="F309" s="18" t="s">
        <v>620</v>
      </c>
      <c r="G309" s="10" t="s">
        <v>83</v>
      </c>
      <c r="H309" s="10" t="s">
        <v>20</v>
      </c>
      <c r="I309" s="11">
        <v>3</v>
      </c>
      <c r="J309" s="11">
        <v>3</v>
      </c>
      <c r="K309" s="11"/>
      <c r="L309"/>
      <c r="M309"/>
      <c r="N309"/>
      <c r="O309"/>
      <c r="P309"/>
      <c r="Q309"/>
      <c r="R309"/>
    </row>
    <row r="310" spans="1:18" s="7" customFormat="1" ht="41.4" x14ac:dyDescent="0.3">
      <c r="A310" s="24">
        <v>298</v>
      </c>
      <c r="B310" s="12">
        <v>22</v>
      </c>
      <c r="C310" s="4" t="s">
        <v>11</v>
      </c>
      <c r="D310" s="4" t="s">
        <v>578</v>
      </c>
      <c r="E310" s="18" t="s">
        <v>621</v>
      </c>
      <c r="F310" s="18" t="s">
        <v>622</v>
      </c>
      <c r="G310" s="10" t="s">
        <v>83</v>
      </c>
      <c r="H310" s="10" t="s">
        <v>20</v>
      </c>
      <c r="I310" s="11">
        <v>3</v>
      </c>
      <c r="J310" s="11">
        <v>3</v>
      </c>
      <c r="K310" s="11"/>
      <c r="L310"/>
      <c r="M310"/>
      <c r="N310"/>
      <c r="O310"/>
      <c r="P310"/>
      <c r="Q310"/>
      <c r="R310"/>
    </row>
    <row r="311" spans="1:18" s="7" customFormat="1" ht="41.4" x14ac:dyDescent="0.3">
      <c r="A311" s="24">
        <v>299</v>
      </c>
      <c r="B311" s="12">
        <v>23</v>
      </c>
      <c r="C311" s="4" t="s">
        <v>11</v>
      </c>
      <c r="D311" s="4" t="s">
        <v>578</v>
      </c>
      <c r="E311" s="18" t="s">
        <v>623</v>
      </c>
      <c r="F311" s="18" t="s">
        <v>624</v>
      </c>
      <c r="G311" s="10" t="s">
        <v>83</v>
      </c>
      <c r="H311" s="10" t="s">
        <v>20</v>
      </c>
      <c r="I311" s="11">
        <v>3</v>
      </c>
      <c r="J311" s="11">
        <v>3</v>
      </c>
      <c r="K311" s="11"/>
      <c r="L311"/>
      <c r="M311"/>
      <c r="N311"/>
      <c r="O311"/>
      <c r="P311"/>
      <c r="Q311"/>
      <c r="R311"/>
    </row>
    <row r="312" spans="1:18" s="7" customFormat="1" ht="41.4" x14ac:dyDescent="0.3">
      <c r="A312" s="24">
        <v>300</v>
      </c>
      <c r="B312" s="12">
        <v>24</v>
      </c>
      <c r="C312" s="4" t="s">
        <v>11</v>
      </c>
      <c r="D312" s="4" t="s">
        <v>578</v>
      </c>
      <c r="E312" s="18" t="s">
        <v>625</v>
      </c>
      <c r="F312" s="18" t="s">
        <v>626</v>
      </c>
      <c r="G312" s="10" t="s">
        <v>83</v>
      </c>
      <c r="H312" s="10" t="s">
        <v>20</v>
      </c>
      <c r="I312" s="11">
        <v>2</v>
      </c>
      <c r="J312" s="11">
        <v>2</v>
      </c>
      <c r="K312" s="11"/>
      <c r="L312"/>
      <c r="M312"/>
      <c r="N312"/>
      <c r="O312"/>
      <c r="P312"/>
      <c r="Q312"/>
      <c r="R312"/>
    </row>
    <row r="313" spans="1:18" s="7" customFormat="1" ht="41.4" x14ac:dyDescent="0.3">
      <c r="A313" s="24">
        <v>301</v>
      </c>
      <c r="B313" s="12">
        <v>25</v>
      </c>
      <c r="C313" s="4" t="s">
        <v>11</v>
      </c>
      <c r="D313" s="4" t="s">
        <v>578</v>
      </c>
      <c r="E313" s="18" t="s">
        <v>627</v>
      </c>
      <c r="F313" s="18" t="s">
        <v>628</v>
      </c>
      <c r="G313" s="10" t="s">
        <v>83</v>
      </c>
      <c r="H313" s="10" t="s">
        <v>20</v>
      </c>
      <c r="I313" s="11">
        <v>2</v>
      </c>
      <c r="J313" s="11">
        <v>2</v>
      </c>
      <c r="K313" s="11"/>
      <c r="L313"/>
      <c r="M313"/>
      <c r="N313"/>
      <c r="O313"/>
      <c r="P313"/>
      <c r="Q313"/>
      <c r="R313"/>
    </row>
    <row r="314" spans="1:18" s="7" customFormat="1" ht="30.6" x14ac:dyDescent="0.3">
      <c r="A314" s="24">
        <v>302</v>
      </c>
      <c r="B314" s="3">
        <v>1</v>
      </c>
      <c r="C314" s="4" t="s">
        <v>11</v>
      </c>
      <c r="D314" s="4" t="s">
        <v>629</v>
      </c>
      <c r="E314" s="15" t="s">
        <v>630</v>
      </c>
      <c r="F314" s="15" t="s">
        <v>631</v>
      </c>
      <c r="G314" s="16" t="s">
        <v>127</v>
      </c>
      <c r="H314" s="16" t="s">
        <v>16</v>
      </c>
      <c r="I314" s="17" t="s">
        <v>17</v>
      </c>
      <c r="J314" s="17" t="s">
        <v>17</v>
      </c>
      <c r="K314" s="17"/>
      <c r="L314"/>
      <c r="M314"/>
      <c r="N314"/>
      <c r="O314"/>
      <c r="P314"/>
      <c r="Q314"/>
      <c r="R314"/>
    </row>
    <row r="315" spans="1:18" s="7" customFormat="1" ht="55.2" x14ac:dyDescent="0.3">
      <c r="A315" s="24">
        <v>303</v>
      </c>
      <c r="B315" s="3">
        <v>2</v>
      </c>
      <c r="C315" s="4" t="s">
        <v>11</v>
      </c>
      <c r="D315" s="4" t="s">
        <v>629</v>
      </c>
      <c r="E315" s="15" t="s">
        <v>632</v>
      </c>
      <c r="F315" s="15" t="s">
        <v>633</v>
      </c>
      <c r="G315" s="16" t="s">
        <v>127</v>
      </c>
      <c r="H315" s="16" t="s">
        <v>20</v>
      </c>
      <c r="I315" s="17">
        <v>4</v>
      </c>
      <c r="J315" s="17">
        <v>4</v>
      </c>
      <c r="K315" s="17"/>
      <c r="L315"/>
      <c r="M315"/>
      <c r="N315"/>
      <c r="O315"/>
      <c r="P315"/>
      <c r="Q315"/>
      <c r="R315"/>
    </row>
    <row r="316" spans="1:18" s="7" customFormat="1" ht="41.4" x14ac:dyDescent="0.3">
      <c r="A316" s="24">
        <v>304</v>
      </c>
      <c r="B316" s="3">
        <v>3</v>
      </c>
      <c r="C316" s="4" t="s">
        <v>11</v>
      </c>
      <c r="D316" s="4" t="s">
        <v>629</v>
      </c>
      <c r="E316" s="15" t="s">
        <v>634</v>
      </c>
      <c r="F316" s="15" t="s">
        <v>635</v>
      </c>
      <c r="G316" s="16" t="s">
        <v>127</v>
      </c>
      <c r="H316" s="16" t="s">
        <v>20</v>
      </c>
      <c r="I316" s="17">
        <v>3</v>
      </c>
      <c r="J316" s="17">
        <v>3</v>
      </c>
      <c r="K316" s="17"/>
      <c r="L316"/>
      <c r="M316"/>
      <c r="N316"/>
      <c r="O316"/>
      <c r="P316"/>
      <c r="Q316"/>
      <c r="R316"/>
    </row>
    <row r="317" spans="1:18" s="7" customFormat="1" ht="55.2" x14ac:dyDescent="0.3">
      <c r="A317" s="24">
        <v>305</v>
      </c>
      <c r="B317" s="3">
        <v>4</v>
      </c>
      <c r="C317" s="4" t="s">
        <v>11</v>
      </c>
      <c r="D317" s="4" t="s">
        <v>629</v>
      </c>
      <c r="E317" s="15" t="s">
        <v>636</v>
      </c>
      <c r="F317" s="15" t="s">
        <v>637</v>
      </c>
      <c r="G317" s="16" t="s">
        <v>127</v>
      </c>
      <c r="H317" s="16" t="s">
        <v>20</v>
      </c>
      <c r="I317" s="17">
        <v>2</v>
      </c>
      <c r="J317" s="17">
        <v>2</v>
      </c>
      <c r="K317" s="17"/>
      <c r="L317"/>
      <c r="M317"/>
      <c r="N317"/>
      <c r="O317"/>
      <c r="P317"/>
      <c r="Q317"/>
      <c r="R317"/>
    </row>
    <row r="318" spans="1:18" s="7" customFormat="1" ht="41.4" x14ac:dyDescent="0.3">
      <c r="A318" s="24">
        <v>306</v>
      </c>
      <c r="B318" s="3">
        <v>5</v>
      </c>
      <c r="C318" s="4" t="s">
        <v>11</v>
      </c>
      <c r="D318" s="4" t="s">
        <v>629</v>
      </c>
      <c r="E318" s="15" t="s">
        <v>638</v>
      </c>
      <c r="F318" s="15" t="s">
        <v>639</v>
      </c>
      <c r="G318" s="16" t="s">
        <v>127</v>
      </c>
      <c r="H318" s="16" t="s">
        <v>20</v>
      </c>
      <c r="I318" s="17">
        <v>1</v>
      </c>
      <c r="J318" s="17">
        <v>1</v>
      </c>
      <c r="K318" s="17"/>
      <c r="L318"/>
      <c r="M318"/>
      <c r="N318"/>
      <c r="O318"/>
      <c r="P318"/>
      <c r="Q318"/>
      <c r="R318"/>
    </row>
    <row r="319" spans="1:18" s="7" customFormat="1" ht="41.4" x14ac:dyDescent="0.3">
      <c r="A319" s="24">
        <v>307</v>
      </c>
      <c r="B319" s="3">
        <v>6</v>
      </c>
      <c r="C319" s="4" t="s">
        <v>11</v>
      </c>
      <c r="D319" s="4" t="s">
        <v>629</v>
      </c>
      <c r="E319" s="18" t="s">
        <v>640</v>
      </c>
      <c r="F319" s="18" t="s">
        <v>641</v>
      </c>
      <c r="G319" s="10" t="s">
        <v>83</v>
      </c>
      <c r="H319" s="10" t="s">
        <v>20</v>
      </c>
      <c r="I319" s="11">
        <v>5</v>
      </c>
      <c r="J319" s="11">
        <v>5</v>
      </c>
      <c r="K319" s="11"/>
      <c r="L319"/>
      <c r="M319"/>
      <c r="N319"/>
      <c r="O319"/>
      <c r="P319"/>
      <c r="Q319"/>
      <c r="R319"/>
    </row>
    <row r="320" spans="1:18" s="7" customFormat="1" ht="41.4" x14ac:dyDescent="0.3">
      <c r="A320" s="24">
        <v>308</v>
      </c>
      <c r="B320" s="3">
        <v>7</v>
      </c>
      <c r="C320" s="4" t="s">
        <v>11</v>
      </c>
      <c r="D320" s="4" t="s">
        <v>629</v>
      </c>
      <c r="E320" s="18" t="s">
        <v>642</v>
      </c>
      <c r="F320" s="18" t="s">
        <v>643</v>
      </c>
      <c r="G320" s="10" t="s">
        <v>83</v>
      </c>
      <c r="H320" s="10" t="s">
        <v>20</v>
      </c>
      <c r="I320" s="11">
        <v>5</v>
      </c>
      <c r="J320" s="11">
        <v>5</v>
      </c>
      <c r="K320" s="11"/>
      <c r="L320"/>
      <c r="M320"/>
      <c r="N320"/>
      <c r="O320"/>
      <c r="P320"/>
      <c r="Q320"/>
      <c r="R320"/>
    </row>
    <row r="321" spans="1:18" s="7" customFormat="1" ht="41.4" x14ac:dyDescent="0.3">
      <c r="A321" s="24">
        <v>309</v>
      </c>
      <c r="B321" s="3">
        <v>8</v>
      </c>
      <c r="C321" s="4" t="s">
        <v>11</v>
      </c>
      <c r="D321" s="4" t="s">
        <v>629</v>
      </c>
      <c r="E321" s="18" t="s">
        <v>644</v>
      </c>
      <c r="F321" s="18" t="s">
        <v>645</v>
      </c>
      <c r="G321" s="10" t="s">
        <v>83</v>
      </c>
      <c r="H321" s="10" t="s">
        <v>20</v>
      </c>
      <c r="I321" s="11">
        <v>5</v>
      </c>
      <c r="J321" s="11">
        <v>5</v>
      </c>
      <c r="K321" s="11"/>
      <c r="L321"/>
      <c r="M321"/>
      <c r="N321"/>
      <c r="O321"/>
      <c r="P321"/>
      <c r="Q321"/>
      <c r="R321"/>
    </row>
    <row r="322" spans="1:18" s="7" customFormat="1" ht="41.4" x14ac:dyDescent="0.3">
      <c r="A322" s="24">
        <v>310</v>
      </c>
      <c r="B322" s="3">
        <v>9</v>
      </c>
      <c r="C322" s="4" t="s">
        <v>11</v>
      </c>
      <c r="D322" s="4" t="s">
        <v>629</v>
      </c>
      <c r="E322" s="18" t="s">
        <v>646</v>
      </c>
      <c r="F322" s="18" t="s">
        <v>647</v>
      </c>
      <c r="G322" s="10" t="s">
        <v>83</v>
      </c>
      <c r="H322" s="10" t="s">
        <v>20</v>
      </c>
      <c r="I322" s="11">
        <v>5</v>
      </c>
      <c r="J322" s="11">
        <v>5</v>
      </c>
      <c r="K322" s="11"/>
      <c r="L322"/>
      <c r="M322"/>
      <c r="N322"/>
      <c r="O322"/>
      <c r="P322"/>
      <c r="Q322"/>
      <c r="R322"/>
    </row>
    <row r="323" spans="1:18" s="7" customFormat="1" ht="41.4" x14ac:dyDescent="0.3">
      <c r="A323" s="24">
        <v>311</v>
      </c>
      <c r="B323" s="3">
        <v>10</v>
      </c>
      <c r="C323" s="4" t="s">
        <v>11</v>
      </c>
      <c r="D323" s="4" t="s">
        <v>629</v>
      </c>
      <c r="E323" s="18" t="s">
        <v>648</v>
      </c>
      <c r="F323" s="18" t="s">
        <v>649</v>
      </c>
      <c r="G323" s="10" t="s">
        <v>83</v>
      </c>
      <c r="H323" s="10" t="s">
        <v>20</v>
      </c>
      <c r="I323" s="11">
        <v>5</v>
      </c>
      <c r="J323" s="11">
        <v>5</v>
      </c>
      <c r="K323" s="11"/>
      <c r="L323"/>
      <c r="M323"/>
      <c r="N323"/>
      <c r="O323"/>
      <c r="P323"/>
      <c r="Q323"/>
      <c r="R323"/>
    </row>
    <row r="324" spans="1:18" s="2" customFormat="1" ht="41.4" x14ac:dyDescent="0.3">
      <c r="A324" s="24">
        <v>312</v>
      </c>
      <c r="B324" s="3">
        <v>11</v>
      </c>
      <c r="C324" s="4" t="s">
        <v>11</v>
      </c>
      <c r="D324" s="4" t="s">
        <v>629</v>
      </c>
      <c r="E324" s="18" t="s">
        <v>650</v>
      </c>
      <c r="F324" s="18" t="s">
        <v>651</v>
      </c>
      <c r="G324" s="10" t="s">
        <v>83</v>
      </c>
      <c r="H324" s="10" t="s">
        <v>20</v>
      </c>
      <c r="I324" s="11">
        <v>4</v>
      </c>
      <c r="J324" s="11">
        <v>4</v>
      </c>
      <c r="K324" s="11"/>
      <c r="L324"/>
      <c r="M324"/>
      <c r="N324"/>
      <c r="O324"/>
      <c r="P324"/>
      <c r="Q324"/>
      <c r="R324"/>
    </row>
    <row r="325" spans="1:18" s="2" customFormat="1" ht="41.4" x14ac:dyDescent="0.3">
      <c r="A325" s="24">
        <v>313</v>
      </c>
      <c r="B325" s="3">
        <v>12</v>
      </c>
      <c r="C325" s="4" t="s">
        <v>11</v>
      </c>
      <c r="D325" s="4" t="s">
        <v>629</v>
      </c>
      <c r="E325" s="18" t="s">
        <v>652</v>
      </c>
      <c r="F325" s="18" t="s">
        <v>653</v>
      </c>
      <c r="G325" s="10" t="s">
        <v>83</v>
      </c>
      <c r="H325" s="10" t="s">
        <v>20</v>
      </c>
      <c r="I325" s="11">
        <v>4</v>
      </c>
      <c r="J325" s="11">
        <v>4</v>
      </c>
      <c r="K325" s="11"/>
      <c r="L325"/>
      <c r="M325"/>
      <c r="N325"/>
      <c r="O325"/>
      <c r="P325"/>
      <c r="Q325"/>
      <c r="R325"/>
    </row>
    <row r="326" spans="1:18" s="2" customFormat="1" ht="41.4" x14ac:dyDescent="0.3">
      <c r="A326" s="24">
        <v>314</v>
      </c>
      <c r="B326" s="3">
        <v>13</v>
      </c>
      <c r="C326" s="4" t="s">
        <v>11</v>
      </c>
      <c r="D326" s="4" t="s">
        <v>629</v>
      </c>
      <c r="E326" s="18" t="s">
        <v>654</v>
      </c>
      <c r="F326" s="18" t="s">
        <v>655</v>
      </c>
      <c r="G326" s="10" t="s">
        <v>83</v>
      </c>
      <c r="H326" s="10" t="s">
        <v>20</v>
      </c>
      <c r="I326" s="11">
        <v>4</v>
      </c>
      <c r="J326" s="11">
        <v>4</v>
      </c>
      <c r="K326" s="11"/>
      <c r="L326"/>
      <c r="M326"/>
      <c r="N326"/>
      <c r="O326"/>
      <c r="P326"/>
      <c r="Q326"/>
      <c r="R326"/>
    </row>
    <row r="327" spans="1:18" s="2" customFormat="1" ht="41.4" x14ac:dyDescent="0.3">
      <c r="A327" s="24">
        <v>315</v>
      </c>
      <c r="B327" s="3">
        <v>14</v>
      </c>
      <c r="C327" s="4" t="s">
        <v>11</v>
      </c>
      <c r="D327" s="4" t="s">
        <v>629</v>
      </c>
      <c r="E327" s="18" t="s">
        <v>656</v>
      </c>
      <c r="F327" s="18" t="s">
        <v>657</v>
      </c>
      <c r="G327" s="10" t="s">
        <v>83</v>
      </c>
      <c r="H327" s="10" t="s">
        <v>20</v>
      </c>
      <c r="I327" s="11">
        <v>4</v>
      </c>
      <c r="J327" s="11">
        <v>4</v>
      </c>
      <c r="K327" s="11"/>
      <c r="L327"/>
      <c r="M327"/>
      <c r="N327"/>
      <c r="O327"/>
      <c r="P327"/>
      <c r="Q327"/>
      <c r="R327"/>
    </row>
    <row r="328" spans="1:18" s="2" customFormat="1" ht="41.4" x14ac:dyDescent="0.3">
      <c r="A328" s="24">
        <v>316</v>
      </c>
      <c r="B328" s="3">
        <v>15</v>
      </c>
      <c r="C328" s="4" t="s">
        <v>11</v>
      </c>
      <c r="D328" s="4" t="s">
        <v>629</v>
      </c>
      <c r="E328" s="18" t="s">
        <v>658</v>
      </c>
      <c r="F328" s="18" t="s">
        <v>659</v>
      </c>
      <c r="G328" s="10" t="s">
        <v>83</v>
      </c>
      <c r="H328" s="10" t="s">
        <v>20</v>
      </c>
      <c r="I328" s="11">
        <v>4</v>
      </c>
      <c r="J328" s="11">
        <v>4</v>
      </c>
      <c r="K328" s="11"/>
      <c r="L328"/>
      <c r="M328"/>
      <c r="N328"/>
      <c r="O328"/>
      <c r="P328"/>
      <c r="Q328"/>
      <c r="R328"/>
    </row>
    <row r="329" spans="1:18" s="2" customFormat="1" ht="41.4" x14ac:dyDescent="0.3">
      <c r="A329" s="24">
        <v>317</v>
      </c>
      <c r="B329" s="3">
        <v>16</v>
      </c>
      <c r="C329" s="4" t="s">
        <v>11</v>
      </c>
      <c r="D329" s="4" t="s">
        <v>629</v>
      </c>
      <c r="E329" s="18" t="s">
        <v>660</v>
      </c>
      <c r="F329" s="18" t="s">
        <v>661</v>
      </c>
      <c r="G329" s="10" t="s">
        <v>83</v>
      </c>
      <c r="H329" s="10" t="s">
        <v>20</v>
      </c>
      <c r="I329" s="11">
        <v>3</v>
      </c>
      <c r="J329" s="11">
        <v>3</v>
      </c>
      <c r="K329" s="11"/>
      <c r="L329"/>
      <c r="M329"/>
      <c r="N329"/>
      <c r="O329"/>
      <c r="P329"/>
      <c r="Q329"/>
      <c r="R329"/>
    </row>
    <row r="330" spans="1:18" s="2" customFormat="1" ht="41.4" x14ac:dyDescent="0.3">
      <c r="A330" s="24">
        <v>318</v>
      </c>
      <c r="B330" s="3">
        <v>17</v>
      </c>
      <c r="C330" s="4" t="s">
        <v>11</v>
      </c>
      <c r="D330" s="4" t="s">
        <v>629</v>
      </c>
      <c r="E330" s="18" t="s">
        <v>662</v>
      </c>
      <c r="F330" s="18" t="s">
        <v>663</v>
      </c>
      <c r="G330" s="10" t="s">
        <v>83</v>
      </c>
      <c r="H330" s="10" t="s">
        <v>20</v>
      </c>
      <c r="I330" s="11">
        <v>3</v>
      </c>
      <c r="J330" s="11">
        <v>3</v>
      </c>
      <c r="K330" s="11"/>
      <c r="L330"/>
      <c r="M330"/>
      <c r="N330"/>
      <c r="O330"/>
      <c r="P330"/>
      <c r="Q330"/>
      <c r="R330"/>
    </row>
    <row r="331" spans="1:18" s="2" customFormat="1" ht="41.4" x14ac:dyDescent="0.3">
      <c r="A331" s="24">
        <v>319</v>
      </c>
      <c r="B331" s="3">
        <v>18</v>
      </c>
      <c r="C331" s="4" t="s">
        <v>11</v>
      </c>
      <c r="D331" s="4" t="s">
        <v>629</v>
      </c>
      <c r="E331" s="18" t="s">
        <v>664</v>
      </c>
      <c r="F331" s="18" t="s">
        <v>665</v>
      </c>
      <c r="G331" s="10" t="s">
        <v>83</v>
      </c>
      <c r="H331" s="10" t="s">
        <v>20</v>
      </c>
      <c r="I331" s="11">
        <v>3</v>
      </c>
      <c r="J331" s="11">
        <v>3</v>
      </c>
      <c r="K331" s="11"/>
      <c r="L331"/>
      <c r="M331"/>
      <c r="N331"/>
      <c r="O331"/>
      <c r="P331"/>
      <c r="Q331"/>
      <c r="R331"/>
    </row>
    <row r="332" spans="1:18" s="2" customFormat="1" ht="41.4" x14ac:dyDescent="0.3">
      <c r="A332" s="24">
        <v>320</v>
      </c>
      <c r="B332" s="3">
        <v>19</v>
      </c>
      <c r="C332" s="4" t="s">
        <v>11</v>
      </c>
      <c r="D332" s="4" t="s">
        <v>629</v>
      </c>
      <c r="E332" s="18" t="s">
        <v>666</v>
      </c>
      <c r="F332" s="18" t="s">
        <v>667</v>
      </c>
      <c r="G332" s="10" t="s">
        <v>83</v>
      </c>
      <c r="H332" s="10" t="s">
        <v>20</v>
      </c>
      <c r="I332" s="11">
        <v>2</v>
      </c>
      <c r="J332" s="11">
        <v>2</v>
      </c>
      <c r="K332" s="11"/>
      <c r="L332"/>
      <c r="M332"/>
      <c r="N332"/>
      <c r="O332"/>
      <c r="P332"/>
      <c r="Q332"/>
      <c r="R332"/>
    </row>
    <row r="333" spans="1:18" s="2" customFormat="1" ht="41.4" x14ac:dyDescent="0.3">
      <c r="A333" s="24">
        <v>321</v>
      </c>
      <c r="B333" s="3">
        <v>20</v>
      </c>
      <c r="C333" s="4" t="s">
        <v>11</v>
      </c>
      <c r="D333" s="4" t="s">
        <v>629</v>
      </c>
      <c r="E333" s="18" t="s">
        <v>668</v>
      </c>
      <c r="F333" s="18" t="s">
        <v>669</v>
      </c>
      <c r="G333" s="10" t="s">
        <v>83</v>
      </c>
      <c r="H333" s="10" t="s">
        <v>20</v>
      </c>
      <c r="I333" s="11">
        <v>2</v>
      </c>
      <c r="J333" s="11">
        <v>2</v>
      </c>
      <c r="K333" s="11"/>
      <c r="L333"/>
      <c r="M333"/>
      <c r="N333"/>
      <c r="O333"/>
      <c r="P333"/>
      <c r="Q333"/>
      <c r="R333"/>
    </row>
    <row r="334" spans="1:18" s="2" customFormat="1" ht="30.6" x14ac:dyDescent="0.3">
      <c r="A334" s="24">
        <v>322</v>
      </c>
      <c r="B334" s="3">
        <v>21</v>
      </c>
      <c r="C334" s="4" t="s">
        <v>11</v>
      </c>
      <c r="D334" s="4" t="s">
        <v>629</v>
      </c>
      <c r="E334" s="18" t="s">
        <v>670</v>
      </c>
      <c r="F334" s="18" t="s">
        <v>671</v>
      </c>
      <c r="G334" s="10" t="s">
        <v>83</v>
      </c>
      <c r="H334" s="10" t="s">
        <v>20</v>
      </c>
      <c r="I334" s="11">
        <v>2</v>
      </c>
      <c r="J334" s="11">
        <v>2</v>
      </c>
      <c r="K334" s="11"/>
      <c r="L334"/>
      <c r="M334"/>
      <c r="N334"/>
      <c r="O334"/>
      <c r="P334"/>
      <c r="Q334"/>
      <c r="R334"/>
    </row>
    <row r="335" spans="1:18" s="2" customFormat="1" ht="41.4" x14ac:dyDescent="0.3">
      <c r="A335" s="24">
        <v>323</v>
      </c>
      <c r="B335" s="3">
        <v>22</v>
      </c>
      <c r="C335" s="4" t="s">
        <v>11</v>
      </c>
      <c r="D335" s="4" t="s">
        <v>629</v>
      </c>
      <c r="E335" s="18" t="s">
        <v>672</v>
      </c>
      <c r="F335" s="18" t="s">
        <v>673</v>
      </c>
      <c r="G335" s="10" t="s">
        <v>83</v>
      </c>
      <c r="H335" s="10" t="s">
        <v>20</v>
      </c>
      <c r="I335" s="11">
        <v>2</v>
      </c>
      <c r="J335" s="11">
        <v>2</v>
      </c>
      <c r="K335" s="11"/>
      <c r="L335"/>
      <c r="M335"/>
      <c r="N335"/>
      <c r="O335"/>
      <c r="P335"/>
      <c r="Q335"/>
      <c r="R335"/>
    </row>
    <row r="336" spans="1:18" s="2" customFormat="1" ht="55.2" x14ac:dyDescent="0.3">
      <c r="A336" s="24">
        <v>324</v>
      </c>
      <c r="B336" s="12">
        <v>1</v>
      </c>
      <c r="C336" s="4" t="s">
        <v>11</v>
      </c>
      <c r="D336" s="4" t="s">
        <v>674</v>
      </c>
      <c r="E336" s="14" t="s">
        <v>675</v>
      </c>
      <c r="F336" s="14" t="s">
        <v>676</v>
      </c>
      <c r="G336" s="6" t="s">
        <v>15</v>
      </c>
      <c r="H336" s="6" t="s">
        <v>16</v>
      </c>
      <c r="I336" s="8" t="s">
        <v>17</v>
      </c>
      <c r="J336" s="8" t="s">
        <v>17</v>
      </c>
      <c r="K336" s="8"/>
      <c r="L336"/>
      <c r="M336"/>
      <c r="N336"/>
      <c r="O336"/>
      <c r="P336"/>
      <c r="Q336"/>
      <c r="R336"/>
    </row>
    <row r="337" spans="1:18" s="2" customFormat="1" ht="55.2" x14ac:dyDescent="0.3">
      <c r="A337" s="24">
        <v>325</v>
      </c>
      <c r="B337" s="12">
        <v>2</v>
      </c>
      <c r="C337" s="4" t="s">
        <v>11</v>
      </c>
      <c r="D337" s="4" t="s">
        <v>674</v>
      </c>
      <c r="E337" s="15" t="s">
        <v>677</v>
      </c>
      <c r="F337" s="15" t="s">
        <v>678</v>
      </c>
      <c r="G337" s="16" t="s">
        <v>127</v>
      </c>
      <c r="H337" s="16" t="s">
        <v>16</v>
      </c>
      <c r="I337" s="17" t="s">
        <v>17</v>
      </c>
      <c r="J337" s="17" t="s">
        <v>17</v>
      </c>
      <c r="K337" s="17"/>
      <c r="L337"/>
      <c r="M337"/>
      <c r="N337"/>
      <c r="O337"/>
      <c r="P337"/>
      <c r="Q337"/>
      <c r="R337"/>
    </row>
    <row r="338" spans="1:18" s="2" customFormat="1" ht="55.2" x14ac:dyDescent="0.3">
      <c r="A338" s="24">
        <v>326</v>
      </c>
      <c r="B338" s="12">
        <v>3</v>
      </c>
      <c r="C338" s="4" t="s">
        <v>11</v>
      </c>
      <c r="D338" s="4" t="s">
        <v>674</v>
      </c>
      <c r="E338" s="14" t="s">
        <v>679</v>
      </c>
      <c r="F338" s="14" t="s">
        <v>680</v>
      </c>
      <c r="G338" s="6" t="s">
        <v>15</v>
      </c>
      <c r="H338" s="6" t="s">
        <v>20</v>
      </c>
      <c r="I338" s="8">
        <v>5</v>
      </c>
      <c r="J338" s="8">
        <v>5</v>
      </c>
      <c r="K338" s="8"/>
      <c r="L338"/>
      <c r="M338"/>
      <c r="N338"/>
      <c r="O338"/>
      <c r="P338"/>
      <c r="Q338"/>
      <c r="R338"/>
    </row>
    <row r="339" spans="1:18" s="2" customFormat="1" ht="55.2" x14ac:dyDescent="0.3">
      <c r="A339" s="24">
        <v>327</v>
      </c>
      <c r="B339" s="12">
        <v>4</v>
      </c>
      <c r="C339" s="4" t="s">
        <v>11</v>
      </c>
      <c r="D339" s="4" t="s">
        <v>674</v>
      </c>
      <c r="E339" s="14" t="s">
        <v>681</v>
      </c>
      <c r="F339" s="14" t="s">
        <v>682</v>
      </c>
      <c r="G339" s="6" t="s">
        <v>15</v>
      </c>
      <c r="H339" s="6" t="s">
        <v>20</v>
      </c>
      <c r="I339" s="8">
        <v>5</v>
      </c>
      <c r="J339" s="8"/>
      <c r="K339" s="8"/>
      <c r="L339"/>
      <c r="M339"/>
      <c r="N339"/>
      <c r="O339"/>
      <c r="P339"/>
      <c r="Q339"/>
      <c r="R339"/>
    </row>
    <row r="340" spans="1:18" s="7" customFormat="1" ht="55.2" x14ac:dyDescent="0.3">
      <c r="A340" s="24">
        <v>328</v>
      </c>
      <c r="B340" s="12">
        <v>5</v>
      </c>
      <c r="C340" s="4" t="s">
        <v>11</v>
      </c>
      <c r="D340" s="4" t="s">
        <v>674</v>
      </c>
      <c r="E340" s="14" t="s">
        <v>683</v>
      </c>
      <c r="F340" s="14" t="s">
        <v>684</v>
      </c>
      <c r="G340" s="6" t="s">
        <v>15</v>
      </c>
      <c r="H340" s="6" t="s">
        <v>20</v>
      </c>
      <c r="I340" s="8">
        <v>5</v>
      </c>
      <c r="J340" s="8"/>
      <c r="K340" s="8"/>
      <c r="L340"/>
      <c r="M340"/>
      <c r="N340"/>
      <c r="O340"/>
      <c r="P340"/>
      <c r="Q340"/>
      <c r="R340"/>
    </row>
    <row r="341" spans="1:18" s="7" customFormat="1" ht="55.2" x14ac:dyDescent="0.3">
      <c r="A341" s="24">
        <v>329</v>
      </c>
      <c r="B341" s="12">
        <v>6</v>
      </c>
      <c r="C341" s="4" t="s">
        <v>11</v>
      </c>
      <c r="D341" s="4" t="s">
        <v>674</v>
      </c>
      <c r="E341" s="15" t="s">
        <v>685</v>
      </c>
      <c r="F341" s="15" t="s">
        <v>686</v>
      </c>
      <c r="G341" s="16" t="s">
        <v>127</v>
      </c>
      <c r="H341" s="16" t="s">
        <v>20</v>
      </c>
      <c r="I341" s="17">
        <v>5</v>
      </c>
      <c r="J341" s="17">
        <v>5</v>
      </c>
      <c r="K341" s="17"/>
      <c r="L341"/>
      <c r="M341"/>
      <c r="N341"/>
      <c r="O341"/>
      <c r="P341"/>
      <c r="Q341"/>
      <c r="R341"/>
    </row>
    <row r="342" spans="1:18" s="7" customFormat="1" ht="55.2" x14ac:dyDescent="0.3">
      <c r="A342" s="24">
        <v>330</v>
      </c>
      <c r="B342" s="12">
        <v>7</v>
      </c>
      <c r="C342" s="4" t="s">
        <v>11</v>
      </c>
      <c r="D342" s="4" t="s">
        <v>674</v>
      </c>
      <c r="E342" s="15" t="s">
        <v>687</v>
      </c>
      <c r="F342" s="15" t="s">
        <v>688</v>
      </c>
      <c r="G342" s="16" t="s">
        <v>127</v>
      </c>
      <c r="H342" s="16" t="s">
        <v>20</v>
      </c>
      <c r="I342" s="17">
        <v>4</v>
      </c>
      <c r="J342" s="17">
        <v>4</v>
      </c>
      <c r="K342" s="17"/>
      <c r="L342"/>
      <c r="M342"/>
      <c r="N342"/>
      <c r="O342"/>
      <c r="P342"/>
      <c r="Q342"/>
      <c r="R342"/>
    </row>
    <row r="343" spans="1:18" s="7" customFormat="1" ht="55.2" x14ac:dyDescent="0.3">
      <c r="A343" s="24">
        <v>331</v>
      </c>
      <c r="B343" s="12">
        <v>8</v>
      </c>
      <c r="C343" s="4" t="s">
        <v>11</v>
      </c>
      <c r="D343" s="4" t="s">
        <v>674</v>
      </c>
      <c r="E343" s="15" t="s">
        <v>689</v>
      </c>
      <c r="F343" s="15" t="s">
        <v>690</v>
      </c>
      <c r="G343" s="16" t="s">
        <v>127</v>
      </c>
      <c r="H343" s="16" t="s">
        <v>20</v>
      </c>
      <c r="I343" s="17">
        <v>3</v>
      </c>
      <c r="J343" s="17">
        <v>3</v>
      </c>
      <c r="K343" s="17"/>
      <c r="L343"/>
      <c r="M343"/>
      <c r="N343"/>
      <c r="O343"/>
      <c r="P343"/>
      <c r="Q343"/>
      <c r="R343"/>
    </row>
    <row r="344" spans="1:18" s="7" customFormat="1" ht="55.2" x14ac:dyDescent="0.3">
      <c r="A344" s="24">
        <v>332</v>
      </c>
      <c r="B344" s="12">
        <v>9</v>
      </c>
      <c r="C344" s="4" t="s">
        <v>11</v>
      </c>
      <c r="D344" s="4" t="s">
        <v>674</v>
      </c>
      <c r="E344" s="15" t="s">
        <v>691</v>
      </c>
      <c r="F344" s="15" t="s">
        <v>692</v>
      </c>
      <c r="G344" s="16" t="s">
        <v>127</v>
      </c>
      <c r="H344" s="16" t="s">
        <v>20</v>
      </c>
      <c r="I344" s="17">
        <v>3</v>
      </c>
      <c r="J344" s="17">
        <v>3</v>
      </c>
      <c r="K344" s="17"/>
      <c r="L344"/>
      <c r="M344"/>
      <c r="N344"/>
      <c r="O344"/>
      <c r="P344"/>
      <c r="Q344"/>
      <c r="R344"/>
    </row>
    <row r="345" spans="1:18" s="7" customFormat="1" ht="55.2" x14ac:dyDescent="0.3">
      <c r="A345" s="24">
        <v>333</v>
      </c>
      <c r="B345" s="12">
        <v>10</v>
      </c>
      <c r="C345" s="4" t="s">
        <v>11</v>
      </c>
      <c r="D345" s="4" t="s">
        <v>674</v>
      </c>
      <c r="E345" s="15" t="s">
        <v>693</v>
      </c>
      <c r="F345" s="15" t="s">
        <v>694</v>
      </c>
      <c r="G345" s="16" t="s">
        <v>127</v>
      </c>
      <c r="H345" s="16" t="s">
        <v>20</v>
      </c>
      <c r="I345" s="17">
        <v>3</v>
      </c>
      <c r="J345" s="17"/>
      <c r="K345" s="17"/>
      <c r="L345"/>
      <c r="M345"/>
      <c r="N345"/>
      <c r="O345"/>
      <c r="P345"/>
      <c r="Q345"/>
      <c r="R345"/>
    </row>
    <row r="346" spans="1:18" s="7" customFormat="1" ht="55.2" x14ac:dyDescent="0.3">
      <c r="A346" s="24">
        <v>334</v>
      </c>
      <c r="B346" s="12">
        <v>11</v>
      </c>
      <c r="C346" s="4" t="s">
        <v>11</v>
      </c>
      <c r="D346" s="4" t="s">
        <v>674</v>
      </c>
      <c r="E346" s="15" t="s">
        <v>695</v>
      </c>
      <c r="F346" s="15" t="s">
        <v>696</v>
      </c>
      <c r="G346" s="16" t="s">
        <v>127</v>
      </c>
      <c r="H346" s="16" t="s">
        <v>20</v>
      </c>
      <c r="I346" s="17">
        <v>2</v>
      </c>
      <c r="J346" s="17"/>
      <c r="K346" s="17"/>
      <c r="L346"/>
      <c r="M346"/>
      <c r="N346"/>
      <c r="O346"/>
      <c r="P346"/>
      <c r="Q346"/>
      <c r="R346"/>
    </row>
    <row r="347" spans="1:18" s="7" customFormat="1" ht="55.2" x14ac:dyDescent="0.3">
      <c r="A347" s="24">
        <v>335</v>
      </c>
      <c r="B347" s="12">
        <v>12</v>
      </c>
      <c r="C347" s="4" t="s">
        <v>11</v>
      </c>
      <c r="D347" s="4" t="s">
        <v>674</v>
      </c>
      <c r="E347" s="15" t="s">
        <v>697</v>
      </c>
      <c r="F347" s="15" t="s">
        <v>698</v>
      </c>
      <c r="G347" s="16" t="s">
        <v>127</v>
      </c>
      <c r="H347" s="16" t="s">
        <v>20</v>
      </c>
      <c r="I347" s="17">
        <v>2</v>
      </c>
      <c r="J347" s="17"/>
      <c r="K347" s="17"/>
      <c r="L347"/>
      <c r="M347"/>
      <c r="N347"/>
      <c r="O347"/>
      <c r="P347"/>
      <c r="Q347"/>
      <c r="R347"/>
    </row>
    <row r="348" spans="1:18" s="7" customFormat="1" ht="41.4" x14ac:dyDescent="0.3">
      <c r="A348" s="24">
        <v>336</v>
      </c>
      <c r="B348" s="12">
        <v>13</v>
      </c>
      <c r="C348" s="4" t="s">
        <v>11</v>
      </c>
      <c r="D348" s="4" t="s">
        <v>674</v>
      </c>
      <c r="E348" s="18" t="s">
        <v>699</v>
      </c>
      <c r="F348" s="18" t="s">
        <v>700</v>
      </c>
      <c r="G348" s="10" t="s">
        <v>83</v>
      </c>
      <c r="H348" s="10" t="s">
        <v>20</v>
      </c>
      <c r="I348" s="11">
        <v>5</v>
      </c>
      <c r="J348" s="11">
        <v>5</v>
      </c>
      <c r="K348" s="11"/>
      <c r="L348"/>
      <c r="M348"/>
      <c r="N348"/>
      <c r="O348"/>
      <c r="P348"/>
      <c r="Q348"/>
      <c r="R348"/>
    </row>
    <row r="349" spans="1:18" s="7" customFormat="1" ht="55.2" x14ac:dyDescent="0.3">
      <c r="A349" s="24">
        <v>337</v>
      </c>
      <c r="B349" s="12">
        <v>14</v>
      </c>
      <c r="C349" s="4" t="s">
        <v>11</v>
      </c>
      <c r="D349" s="4" t="s">
        <v>674</v>
      </c>
      <c r="E349" s="18" t="s">
        <v>701</v>
      </c>
      <c r="F349" s="18" t="s">
        <v>702</v>
      </c>
      <c r="G349" s="10" t="s">
        <v>83</v>
      </c>
      <c r="H349" s="10" t="s">
        <v>20</v>
      </c>
      <c r="I349" s="11">
        <v>5</v>
      </c>
      <c r="J349" s="11"/>
      <c r="K349" s="11"/>
      <c r="L349"/>
      <c r="M349"/>
      <c r="N349"/>
      <c r="O349"/>
      <c r="P349"/>
      <c r="Q349"/>
      <c r="R349"/>
    </row>
    <row r="350" spans="1:18" s="7" customFormat="1" ht="41.4" x14ac:dyDescent="0.3">
      <c r="A350" s="24">
        <v>338</v>
      </c>
      <c r="B350" s="12">
        <v>15</v>
      </c>
      <c r="C350" s="4" t="s">
        <v>11</v>
      </c>
      <c r="D350" s="4" t="s">
        <v>674</v>
      </c>
      <c r="E350" s="18" t="s">
        <v>703</v>
      </c>
      <c r="F350" s="18" t="s">
        <v>704</v>
      </c>
      <c r="G350" s="10" t="s">
        <v>83</v>
      </c>
      <c r="H350" s="10" t="s">
        <v>20</v>
      </c>
      <c r="I350" s="11">
        <v>5</v>
      </c>
      <c r="J350" s="11"/>
      <c r="K350" s="11"/>
      <c r="L350"/>
      <c r="M350"/>
      <c r="N350"/>
      <c r="O350"/>
      <c r="P350"/>
      <c r="Q350"/>
      <c r="R350"/>
    </row>
    <row r="351" spans="1:18" s="7" customFormat="1" ht="55.2" x14ac:dyDescent="0.3">
      <c r="A351" s="24">
        <v>339</v>
      </c>
      <c r="B351" s="12">
        <v>16</v>
      </c>
      <c r="C351" s="4" t="s">
        <v>11</v>
      </c>
      <c r="D351" s="4" t="s">
        <v>674</v>
      </c>
      <c r="E351" s="18" t="s">
        <v>705</v>
      </c>
      <c r="F351" s="18" t="s">
        <v>706</v>
      </c>
      <c r="G351" s="10" t="s">
        <v>83</v>
      </c>
      <c r="H351" s="10" t="s">
        <v>20</v>
      </c>
      <c r="I351" s="11">
        <v>5</v>
      </c>
      <c r="J351" s="11"/>
      <c r="K351" s="11"/>
      <c r="L351"/>
      <c r="M351"/>
      <c r="N351"/>
      <c r="O351"/>
      <c r="P351"/>
      <c r="Q351"/>
      <c r="R351"/>
    </row>
    <row r="352" spans="1:18" s="7" customFormat="1" ht="41.4" x14ac:dyDescent="0.3">
      <c r="A352" s="24">
        <v>340</v>
      </c>
      <c r="B352" s="12">
        <v>17</v>
      </c>
      <c r="C352" s="4" t="s">
        <v>11</v>
      </c>
      <c r="D352" s="4" t="s">
        <v>674</v>
      </c>
      <c r="E352" s="18" t="s">
        <v>707</v>
      </c>
      <c r="F352" s="18" t="s">
        <v>708</v>
      </c>
      <c r="G352" s="10" t="s">
        <v>83</v>
      </c>
      <c r="H352" s="10" t="s">
        <v>20</v>
      </c>
      <c r="I352" s="11">
        <v>5</v>
      </c>
      <c r="J352" s="11"/>
      <c r="K352" s="11"/>
      <c r="L352"/>
      <c r="M352"/>
      <c r="N352"/>
      <c r="O352"/>
      <c r="P352"/>
      <c r="Q352"/>
      <c r="R352"/>
    </row>
    <row r="353" spans="1:18" s="7" customFormat="1" ht="41.4" x14ac:dyDescent="0.3">
      <c r="A353" s="24">
        <v>341</v>
      </c>
      <c r="B353" s="12">
        <v>18</v>
      </c>
      <c r="C353" s="4" t="s">
        <v>11</v>
      </c>
      <c r="D353" s="4" t="s">
        <v>674</v>
      </c>
      <c r="E353" s="18" t="s">
        <v>709</v>
      </c>
      <c r="F353" s="18" t="s">
        <v>710</v>
      </c>
      <c r="G353" s="10" t="s">
        <v>83</v>
      </c>
      <c r="H353" s="10" t="s">
        <v>20</v>
      </c>
      <c r="I353" s="11">
        <v>4</v>
      </c>
      <c r="J353" s="11"/>
      <c r="K353" s="11"/>
      <c r="L353"/>
      <c r="M353"/>
      <c r="N353"/>
      <c r="O353"/>
      <c r="P353"/>
      <c r="Q353"/>
      <c r="R353"/>
    </row>
    <row r="354" spans="1:18" s="7" customFormat="1" ht="55.2" x14ac:dyDescent="0.3">
      <c r="A354" s="24">
        <v>342</v>
      </c>
      <c r="B354" s="12">
        <v>19</v>
      </c>
      <c r="C354" s="4" t="s">
        <v>11</v>
      </c>
      <c r="D354" s="4" t="s">
        <v>674</v>
      </c>
      <c r="E354" s="18" t="s">
        <v>711</v>
      </c>
      <c r="F354" s="18" t="s">
        <v>712</v>
      </c>
      <c r="G354" s="10" t="s">
        <v>83</v>
      </c>
      <c r="H354" s="10" t="s">
        <v>20</v>
      </c>
      <c r="I354" s="11">
        <v>4</v>
      </c>
      <c r="J354" s="11"/>
      <c r="K354" s="11"/>
      <c r="L354"/>
      <c r="M354"/>
      <c r="N354"/>
      <c r="O354"/>
      <c r="P354"/>
      <c r="Q354"/>
      <c r="R354"/>
    </row>
    <row r="355" spans="1:18" s="7" customFormat="1" ht="55.2" x14ac:dyDescent="0.3">
      <c r="A355" s="24">
        <v>343</v>
      </c>
      <c r="B355" s="12">
        <v>20</v>
      </c>
      <c r="C355" s="4" t="s">
        <v>11</v>
      </c>
      <c r="D355" s="4" t="s">
        <v>674</v>
      </c>
      <c r="E355" s="18" t="s">
        <v>713</v>
      </c>
      <c r="F355" s="18" t="s">
        <v>714</v>
      </c>
      <c r="G355" s="10" t="s">
        <v>83</v>
      </c>
      <c r="H355" s="10" t="s">
        <v>20</v>
      </c>
      <c r="I355" s="11">
        <v>4</v>
      </c>
      <c r="J355" s="11"/>
      <c r="K355" s="11"/>
      <c r="L355"/>
      <c r="M355"/>
      <c r="N355"/>
      <c r="O355"/>
      <c r="P355"/>
      <c r="Q355"/>
      <c r="R355"/>
    </row>
    <row r="356" spans="1:18" s="2" customFormat="1" ht="41.4" x14ac:dyDescent="0.3">
      <c r="A356" s="24">
        <v>344</v>
      </c>
      <c r="B356" s="12">
        <v>21</v>
      </c>
      <c r="C356" s="4" t="s">
        <v>11</v>
      </c>
      <c r="D356" s="4" t="s">
        <v>674</v>
      </c>
      <c r="E356" s="18" t="s">
        <v>715</v>
      </c>
      <c r="F356" s="18" t="s">
        <v>716</v>
      </c>
      <c r="G356" s="10" t="s">
        <v>83</v>
      </c>
      <c r="H356" s="10" t="s">
        <v>20</v>
      </c>
      <c r="I356" s="11">
        <v>4</v>
      </c>
      <c r="J356" s="11"/>
      <c r="K356" s="11"/>
      <c r="L356"/>
      <c r="M356"/>
      <c r="N356"/>
      <c r="O356"/>
      <c r="P356"/>
      <c r="Q356"/>
      <c r="R356"/>
    </row>
    <row r="357" spans="1:18" s="2" customFormat="1" ht="55.2" x14ac:dyDescent="0.3">
      <c r="A357" s="24">
        <v>345</v>
      </c>
      <c r="B357" s="12">
        <v>22</v>
      </c>
      <c r="C357" s="4" t="s">
        <v>11</v>
      </c>
      <c r="D357" s="4" t="s">
        <v>674</v>
      </c>
      <c r="E357" s="18" t="s">
        <v>717</v>
      </c>
      <c r="F357" s="18" t="s">
        <v>718</v>
      </c>
      <c r="G357" s="10" t="s">
        <v>83</v>
      </c>
      <c r="H357" s="10" t="s">
        <v>20</v>
      </c>
      <c r="I357" s="11">
        <v>3</v>
      </c>
      <c r="J357" s="11"/>
      <c r="K357" s="11"/>
      <c r="L357"/>
      <c r="M357"/>
      <c r="N357"/>
      <c r="O357"/>
      <c r="P357"/>
      <c r="Q357"/>
      <c r="R357"/>
    </row>
    <row r="358" spans="1:18" s="2" customFormat="1" ht="41.4" x14ac:dyDescent="0.3">
      <c r="A358" s="24">
        <v>346</v>
      </c>
      <c r="B358" s="12">
        <v>23</v>
      </c>
      <c r="C358" s="4" t="s">
        <v>11</v>
      </c>
      <c r="D358" s="4" t="s">
        <v>674</v>
      </c>
      <c r="E358" s="18" t="s">
        <v>719</v>
      </c>
      <c r="F358" s="18" t="s">
        <v>720</v>
      </c>
      <c r="G358" s="10" t="s">
        <v>83</v>
      </c>
      <c r="H358" s="10" t="s">
        <v>20</v>
      </c>
      <c r="I358" s="11">
        <v>3</v>
      </c>
      <c r="J358" s="11"/>
      <c r="K358" s="11"/>
      <c r="L358"/>
      <c r="M358"/>
      <c r="N358"/>
      <c r="O358"/>
      <c r="P358"/>
      <c r="Q358"/>
      <c r="R358"/>
    </row>
    <row r="359" spans="1:18" s="2" customFormat="1" ht="55.2" x14ac:dyDescent="0.3">
      <c r="A359" s="24">
        <v>347</v>
      </c>
      <c r="B359" s="12">
        <v>24</v>
      </c>
      <c r="C359" s="4" t="s">
        <v>11</v>
      </c>
      <c r="D359" s="4" t="s">
        <v>674</v>
      </c>
      <c r="E359" s="18" t="s">
        <v>721</v>
      </c>
      <c r="F359" s="18" t="s">
        <v>722</v>
      </c>
      <c r="G359" s="10" t="s">
        <v>83</v>
      </c>
      <c r="H359" s="10" t="s">
        <v>20</v>
      </c>
      <c r="I359" s="11">
        <v>2</v>
      </c>
      <c r="J359" s="11"/>
      <c r="K359" s="11"/>
      <c r="L359"/>
      <c r="M359"/>
      <c r="N359"/>
      <c r="O359"/>
      <c r="P359"/>
      <c r="Q359"/>
      <c r="R359"/>
    </row>
    <row r="360" spans="1:18" s="2" customFormat="1" ht="55.2" x14ac:dyDescent="0.3">
      <c r="A360" s="24">
        <v>348</v>
      </c>
      <c r="B360" s="12">
        <v>25</v>
      </c>
      <c r="C360" s="4" t="s">
        <v>11</v>
      </c>
      <c r="D360" s="4" t="s">
        <v>674</v>
      </c>
      <c r="E360" s="18" t="s">
        <v>723</v>
      </c>
      <c r="F360" s="18" t="s">
        <v>724</v>
      </c>
      <c r="G360" s="10" t="s">
        <v>83</v>
      </c>
      <c r="H360" s="10" t="s">
        <v>20</v>
      </c>
      <c r="I360" s="11">
        <v>2</v>
      </c>
      <c r="J360" s="11"/>
      <c r="K360" s="11"/>
      <c r="L360"/>
      <c r="M360"/>
      <c r="N360"/>
      <c r="O360"/>
      <c r="P360"/>
      <c r="Q360"/>
      <c r="R360"/>
    </row>
    <row r="361" spans="1:18" s="2" customFormat="1" ht="41.4" x14ac:dyDescent="0.3">
      <c r="A361" s="24">
        <v>349</v>
      </c>
      <c r="B361" s="12">
        <v>26</v>
      </c>
      <c r="C361" s="4" t="s">
        <v>11</v>
      </c>
      <c r="D361" s="4" t="s">
        <v>674</v>
      </c>
      <c r="E361" s="18" t="s">
        <v>725</v>
      </c>
      <c r="F361" s="18" t="s">
        <v>726</v>
      </c>
      <c r="G361" s="10" t="s">
        <v>83</v>
      </c>
      <c r="H361" s="10" t="s">
        <v>20</v>
      </c>
      <c r="I361" s="11">
        <v>1</v>
      </c>
      <c r="J361" s="11"/>
      <c r="K361" s="11"/>
      <c r="L361"/>
      <c r="M361"/>
      <c r="N361"/>
      <c r="O361"/>
      <c r="P361"/>
      <c r="Q361"/>
      <c r="R361"/>
    </row>
    <row r="362" spans="1:18" s="2" customFormat="1" ht="41.4" x14ac:dyDescent="0.3">
      <c r="A362" s="24">
        <v>350</v>
      </c>
      <c r="B362" s="3">
        <v>1</v>
      </c>
      <c r="C362" s="4" t="s">
        <v>11</v>
      </c>
      <c r="D362" s="4" t="s">
        <v>727</v>
      </c>
      <c r="E362" s="14" t="s">
        <v>728</v>
      </c>
      <c r="F362" s="14" t="s">
        <v>729</v>
      </c>
      <c r="G362" s="6" t="s">
        <v>15</v>
      </c>
      <c r="H362" s="6" t="s">
        <v>16</v>
      </c>
      <c r="I362" s="8" t="s">
        <v>17</v>
      </c>
      <c r="J362" s="8" t="s">
        <v>17</v>
      </c>
      <c r="K362" s="8"/>
      <c r="L362"/>
      <c r="M362"/>
      <c r="N362"/>
      <c r="O362"/>
      <c r="P362"/>
      <c r="Q362"/>
      <c r="R362"/>
    </row>
    <row r="363" spans="1:18" s="2" customFormat="1" ht="55.2" x14ac:dyDescent="0.3">
      <c r="A363" s="24">
        <v>351</v>
      </c>
      <c r="B363" s="3">
        <v>2</v>
      </c>
      <c r="C363" s="4" t="s">
        <v>11</v>
      </c>
      <c r="D363" s="4" t="s">
        <v>727</v>
      </c>
      <c r="E363" s="14" t="s">
        <v>728</v>
      </c>
      <c r="F363" s="14" t="s">
        <v>730</v>
      </c>
      <c r="G363" s="6" t="s">
        <v>15</v>
      </c>
      <c r="H363" s="6" t="s">
        <v>20</v>
      </c>
      <c r="I363" s="8">
        <v>3</v>
      </c>
      <c r="J363" s="8">
        <v>3</v>
      </c>
      <c r="K363" s="8"/>
      <c r="L363"/>
      <c r="M363"/>
      <c r="N363"/>
      <c r="O363"/>
      <c r="P363"/>
      <c r="Q363"/>
      <c r="R363"/>
    </row>
    <row r="364" spans="1:18" s="2" customFormat="1" ht="41.4" x14ac:dyDescent="0.3">
      <c r="A364" s="24">
        <v>352</v>
      </c>
      <c r="B364" s="3">
        <v>3</v>
      </c>
      <c r="C364" s="4" t="s">
        <v>11</v>
      </c>
      <c r="D364" s="4" t="s">
        <v>727</v>
      </c>
      <c r="E364" s="14" t="s">
        <v>731</v>
      </c>
      <c r="F364" s="14" t="s">
        <v>732</v>
      </c>
      <c r="G364" s="6" t="s">
        <v>15</v>
      </c>
      <c r="H364" s="6" t="s">
        <v>20</v>
      </c>
      <c r="I364" s="8">
        <v>2</v>
      </c>
      <c r="J364" s="8">
        <v>2</v>
      </c>
      <c r="K364" s="8"/>
      <c r="L364"/>
      <c r="M364"/>
      <c r="N364"/>
      <c r="O364"/>
      <c r="P364"/>
      <c r="Q364"/>
      <c r="R364"/>
    </row>
    <row r="365" spans="1:18" s="2" customFormat="1" ht="41.4" x14ac:dyDescent="0.3">
      <c r="A365" s="24">
        <v>353</v>
      </c>
      <c r="B365" s="3">
        <v>4</v>
      </c>
      <c r="C365" s="4" t="s">
        <v>11</v>
      </c>
      <c r="D365" s="4" t="s">
        <v>727</v>
      </c>
      <c r="E365" s="14" t="s">
        <v>733</v>
      </c>
      <c r="F365" s="14" t="s">
        <v>734</v>
      </c>
      <c r="G365" s="6" t="s">
        <v>15</v>
      </c>
      <c r="H365" s="6" t="s">
        <v>20</v>
      </c>
      <c r="I365" s="8">
        <v>1</v>
      </c>
      <c r="J365" s="8">
        <v>1</v>
      </c>
      <c r="K365" s="8"/>
      <c r="L365"/>
      <c r="M365"/>
      <c r="N365"/>
      <c r="O365"/>
      <c r="P365"/>
      <c r="Q365"/>
      <c r="R365"/>
    </row>
    <row r="366" spans="1:18" s="2" customFormat="1" ht="41.4" x14ac:dyDescent="0.3">
      <c r="A366" s="24">
        <v>354</v>
      </c>
      <c r="B366" s="3">
        <v>5</v>
      </c>
      <c r="C366" s="4" t="s">
        <v>11</v>
      </c>
      <c r="D366" s="4" t="s">
        <v>727</v>
      </c>
      <c r="E366" s="15" t="s">
        <v>735</v>
      </c>
      <c r="F366" s="15" t="s">
        <v>736</v>
      </c>
      <c r="G366" s="16" t="s">
        <v>127</v>
      </c>
      <c r="H366" s="16" t="s">
        <v>20</v>
      </c>
      <c r="I366" s="17">
        <v>5</v>
      </c>
      <c r="J366" s="17">
        <v>5</v>
      </c>
      <c r="K366" s="17"/>
      <c r="L366"/>
      <c r="M366"/>
      <c r="N366"/>
      <c r="O366"/>
      <c r="P366"/>
      <c r="Q366"/>
      <c r="R366"/>
    </row>
    <row r="367" spans="1:18" s="2" customFormat="1" ht="41.4" x14ac:dyDescent="0.3">
      <c r="A367" s="24">
        <v>355</v>
      </c>
      <c r="B367" s="3">
        <v>6</v>
      </c>
      <c r="C367" s="4" t="s">
        <v>11</v>
      </c>
      <c r="D367" s="4" t="s">
        <v>727</v>
      </c>
      <c r="E367" s="15" t="s">
        <v>737</v>
      </c>
      <c r="F367" s="15" t="s">
        <v>738</v>
      </c>
      <c r="G367" s="16" t="s">
        <v>127</v>
      </c>
      <c r="H367" s="16" t="s">
        <v>20</v>
      </c>
      <c r="I367" s="17">
        <v>3</v>
      </c>
      <c r="J367" s="17">
        <v>3</v>
      </c>
      <c r="K367" s="17"/>
      <c r="L367"/>
      <c r="M367"/>
      <c r="N367"/>
      <c r="O367"/>
      <c r="P367"/>
      <c r="Q367"/>
      <c r="R367"/>
    </row>
    <row r="368" spans="1:18" s="2" customFormat="1" ht="55.2" x14ac:dyDescent="0.3">
      <c r="A368" s="24">
        <v>356</v>
      </c>
      <c r="B368" s="3">
        <v>7</v>
      </c>
      <c r="C368" s="4" t="s">
        <v>11</v>
      </c>
      <c r="D368" s="4" t="s">
        <v>727</v>
      </c>
      <c r="E368" s="18" t="s">
        <v>739</v>
      </c>
      <c r="F368" s="18" t="s">
        <v>740</v>
      </c>
      <c r="G368" s="10" t="s">
        <v>83</v>
      </c>
      <c r="H368" s="10" t="s">
        <v>20</v>
      </c>
      <c r="I368" s="11">
        <v>5</v>
      </c>
      <c r="J368" s="11">
        <v>5</v>
      </c>
      <c r="K368" s="11"/>
      <c r="L368"/>
      <c r="M368"/>
      <c r="N368"/>
      <c r="O368"/>
      <c r="P368"/>
      <c r="Q368"/>
      <c r="R368"/>
    </row>
    <row r="369" spans="1:18" s="2" customFormat="1" ht="41.4" x14ac:dyDescent="0.3">
      <c r="A369" s="24">
        <v>357</v>
      </c>
      <c r="B369" s="3">
        <v>8</v>
      </c>
      <c r="C369" s="4" t="s">
        <v>11</v>
      </c>
      <c r="D369" s="4" t="s">
        <v>727</v>
      </c>
      <c r="E369" s="18" t="s">
        <v>741</v>
      </c>
      <c r="F369" s="18" t="s">
        <v>742</v>
      </c>
      <c r="G369" s="10" t="s">
        <v>83</v>
      </c>
      <c r="H369" s="10" t="s">
        <v>20</v>
      </c>
      <c r="I369" s="11">
        <v>5</v>
      </c>
      <c r="J369" s="11">
        <v>5</v>
      </c>
      <c r="K369" s="11"/>
      <c r="L369"/>
      <c r="M369"/>
      <c r="N369"/>
      <c r="O369"/>
      <c r="P369"/>
      <c r="Q369"/>
      <c r="R369"/>
    </row>
    <row r="370" spans="1:18" s="2" customFormat="1" ht="41.4" x14ac:dyDescent="0.3">
      <c r="A370" s="24">
        <v>358</v>
      </c>
      <c r="B370" s="3">
        <v>9</v>
      </c>
      <c r="C370" s="4" t="s">
        <v>11</v>
      </c>
      <c r="D370" s="4" t="s">
        <v>727</v>
      </c>
      <c r="E370" s="18" t="s">
        <v>743</v>
      </c>
      <c r="F370" s="18" t="s">
        <v>744</v>
      </c>
      <c r="G370" s="10" t="s">
        <v>83</v>
      </c>
      <c r="H370" s="10" t="s">
        <v>20</v>
      </c>
      <c r="I370" s="11">
        <v>5</v>
      </c>
      <c r="J370" s="11">
        <v>5</v>
      </c>
      <c r="K370" s="11"/>
      <c r="L370"/>
      <c r="M370"/>
      <c r="N370"/>
      <c r="O370"/>
      <c r="P370"/>
      <c r="Q370"/>
      <c r="R370"/>
    </row>
    <row r="371" spans="1:18" s="2" customFormat="1" ht="41.4" x14ac:dyDescent="0.3">
      <c r="A371" s="24">
        <v>359</v>
      </c>
      <c r="B371" s="3">
        <v>10</v>
      </c>
      <c r="C371" s="4" t="s">
        <v>11</v>
      </c>
      <c r="D371" s="4" t="s">
        <v>727</v>
      </c>
      <c r="E371" s="18" t="s">
        <v>745</v>
      </c>
      <c r="F371" s="18" t="s">
        <v>746</v>
      </c>
      <c r="G371" s="10" t="s">
        <v>83</v>
      </c>
      <c r="H371" s="10" t="s">
        <v>20</v>
      </c>
      <c r="I371" s="11">
        <v>5</v>
      </c>
      <c r="J371" s="11">
        <v>5</v>
      </c>
      <c r="K371" s="11"/>
      <c r="L371"/>
      <c r="M371"/>
      <c r="N371"/>
      <c r="O371"/>
      <c r="P371"/>
      <c r="Q371"/>
      <c r="R371"/>
    </row>
    <row r="372" spans="1:18" s="7" customFormat="1" ht="41.4" x14ac:dyDescent="0.3">
      <c r="A372" s="24">
        <v>360</v>
      </c>
      <c r="B372" s="3">
        <v>11</v>
      </c>
      <c r="C372" s="4" t="s">
        <v>11</v>
      </c>
      <c r="D372" s="4" t="s">
        <v>727</v>
      </c>
      <c r="E372" s="18" t="s">
        <v>747</v>
      </c>
      <c r="F372" s="18" t="s">
        <v>748</v>
      </c>
      <c r="G372" s="10" t="s">
        <v>83</v>
      </c>
      <c r="H372" s="10" t="s">
        <v>20</v>
      </c>
      <c r="I372" s="11">
        <v>4</v>
      </c>
      <c r="J372" s="11">
        <v>4</v>
      </c>
      <c r="K372" s="11"/>
      <c r="L372"/>
      <c r="M372"/>
      <c r="N372"/>
      <c r="O372"/>
      <c r="P372"/>
      <c r="Q372"/>
      <c r="R372"/>
    </row>
    <row r="373" spans="1:18" s="7" customFormat="1" ht="41.4" x14ac:dyDescent="0.3">
      <c r="A373" s="24">
        <v>361</v>
      </c>
      <c r="B373" s="3">
        <v>12</v>
      </c>
      <c r="C373" s="4" t="s">
        <v>11</v>
      </c>
      <c r="D373" s="4" t="s">
        <v>727</v>
      </c>
      <c r="E373" s="18" t="s">
        <v>749</v>
      </c>
      <c r="F373" s="18" t="s">
        <v>750</v>
      </c>
      <c r="G373" s="10" t="s">
        <v>83</v>
      </c>
      <c r="H373" s="10" t="s">
        <v>20</v>
      </c>
      <c r="I373" s="11">
        <v>4</v>
      </c>
      <c r="J373" s="11">
        <v>4</v>
      </c>
      <c r="K373" s="11"/>
      <c r="L373"/>
      <c r="M373"/>
      <c r="N373"/>
      <c r="O373"/>
      <c r="P373"/>
      <c r="Q373"/>
      <c r="R373"/>
    </row>
    <row r="374" spans="1:18" s="7" customFormat="1" ht="41.4" x14ac:dyDescent="0.3">
      <c r="A374" s="24">
        <v>362</v>
      </c>
      <c r="B374" s="3">
        <v>13</v>
      </c>
      <c r="C374" s="4" t="s">
        <v>11</v>
      </c>
      <c r="D374" s="4" t="s">
        <v>727</v>
      </c>
      <c r="E374" s="18" t="s">
        <v>751</v>
      </c>
      <c r="F374" s="18" t="s">
        <v>752</v>
      </c>
      <c r="G374" s="10" t="s">
        <v>83</v>
      </c>
      <c r="H374" s="10" t="s">
        <v>20</v>
      </c>
      <c r="I374" s="11">
        <v>3</v>
      </c>
      <c r="J374" s="11">
        <v>3</v>
      </c>
      <c r="K374" s="11"/>
      <c r="L374"/>
      <c r="M374"/>
      <c r="N374"/>
      <c r="O374"/>
      <c r="P374"/>
      <c r="Q374"/>
      <c r="R374"/>
    </row>
    <row r="375" spans="1:18" s="7" customFormat="1" ht="41.4" x14ac:dyDescent="0.3">
      <c r="A375" s="24">
        <v>363</v>
      </c>
      <c r="B375" s="3">
        <v>14</v>
      </c>
      <c r="C375" s="4" t="s">
        <v>11</v>
      </c>
      <c r="D375" s="4" t="s">
        <v>727</v>
      </c>
      <c r="E375" s="18" t="s">
        <v>753</v>
      </c>
      <c r="F375" s="18" t="s">
        <v>754</v>
      </c>
      <c r="G375" s="10" t="s">
        <v>83</v>
      </c>
      <c r="H375" s="10" t="s">
        <v>20</v>
      </c>
      <c r="I375" s="11">
        <v>2</v>
      </c>
      <c r="J375" s="11">
        <v>2</v>
      </c>
      <c r="K375" s="11"/>
      <c r="L375"/>
      <c r="M375"/>
      <c r="N375"/>
      <c r="O375"/>
      <c r="P375"/>
      <c r="Q375"/>
      <c r="R375"/>
    </row>
    <row r="376" spans="1:18" s="7" customFormat="1" ht="41.4" x14ac:dyDescent="0.3">
      <c r="A376" s="24">
        <v>364</v>
      </c>
      <c r="B376" s="3">
        <v>15</v>
      </c>
      <c r="C376" s="4" t="s">
        <v>11</v>
      </c>
      <c r="D376" s="4" t="s">
        <v>727</v>
      </c>
      <c r="E376" s="18" t="s">
        <v>755</v>
      </c>
      <c r="F376" s="18" t="s">
        <v>756</v>
      </c>
      <c r="G376" s="10" t="s">
        <v>83</v>
      </c>
      <c r="H376" s="10" t="s">
        <v>20</v>
      </c>
      <c r="I376" s="11">
        <v>2</v>
      </c>
      <c r="J376" s="11">
        <v>2</v>
      </c>
      <c r="K376" s="11"/>
      <c r="L376"/>
      <c r="M376"/>
      <c r="N376"/>
      <c r="O376"/>
      <c r="P376"/>
      <c r="Q376"/>
      <c r="R376"/>
    </row>
    <row r="377" spans="1:18" s="7" customFormat="1" ht="41.4" x14ac:dyDescent="0.3">
      <c r="A377" s="24">
        <v>365</v>
      </c>
      <c r="B377" s="3">
        <v>16</v>
      </c>
      <c r="C377" s="4" t="s">
        <v>11</v>
      </c>
      <c r="D377" s="4" t="s">
        <v>727</v>
      </c>
      <c r="E377" s="18" t="s">
        <v>757</v>
      </c>
      <c r="F377" s="18" t="s">
        <v>758</v>
      </c>
      <c r="G377" s="10" t="s">
        <v>83</v>
      </c>
      <c r="H377" s="10" t="s">
        <v>20</v>
      </c>
      <c r="I377" s="11">
        <v>2</v>
      </c>
      <c r="J377" s="11">
        <v>2</v>
      </c>
      <c r="K377" s="11"/>
      <c r="L377"/>
      <c r="M377"/>
      <c r="N377"/>
      <c r="O377"/>
      <c r="P377"/>
      <c r="Q377"/>
      <c r="R377"/>
    </row>
    <row r="378" spans="1:18" s="7" customFormat="1" ht="41.4" x14ac:dyDescent="0.3">
      <c r="A378" s="24">
        <v>366</v>
      </c>
      <c r="B378" s="3">
        <v>17</v>
      </c>
      <c r="C378" s="4" t="s">
        <v>11</v>
      </c>
      <c r="D378" s="4" t="s">
        <v>727</v>
      </c>
      <c r="E378" s="18" t="s">
        <v>759</v>
      </c>
      <c r="F378" s="18" t="s">
        <v>760</v>
      </c>
      <c r="G378" s="10" t="s">
        <v>83</v>
      </c>
      <c r="H378" s="10" t="s">
        <v>20</v>
      </c>
      <c r="I378" s="11">
        <v>1</v>
      </c>
      <c r="J378" s="11">
        <v>1</v>
      </c>
      <c r="K378" s="11"/>
      <c r="L378"/>
      <c r="M378"/>
      <c r="N378"/>
      <c r="O378"/>
      <c r="P378"/>
      <c r="Q378"/>
      <c r="R378"/>
    </row>
    <row r="379" spans="1:18" s="7" customFormat="1" ht="30.6" x14ac:dyDescent="0.3">
      <c r="A379" s="24">
        <v>367</v>
      </c>
      <c r="B379" s="12">
        <v>1</v>
      </c>
      <c r="C379" s="4" t="s">
        <v>11</v>
      </c>
      <c r="D379" s="4" t="s">
        <v>761</v>
      </c>
      <c r="E379" s="18" t="s">
        <v>762</v>
      </c>
      <c r="F379" s="18" t="s">
        <v>763</v>
      </c>
      <c r="G379" s="10" t="s">
        <v>83</v>
      </c>
      <c r="H379" s="10" t="s">
        <v>20</v>
      </c>
      <c r="I379" s="11">
        <v>5</v>
      </c>
      <c r="J379" s="11">
        <v>5</v>
      </c>
      <c r="K379" s="11"/>
      <c r="L379"/>
      <c r="M379"/>
      <c r="N379"/>
      <c r="O379"/>
      <c r="P379"/>
      <c r="Q379"/>
      <c r="R379"/>
    </row>
    <row r="380" spans="1:18" s="7" customFormat="1" ht="30.6" x14ac:dyDescent="0.3">
      <c r="A380" s="24">
        <v>368</v>
      </c>
      <c r="B380" s="12">
        <v>2</v>
      </c>
      <c r="C380" s="4" t="s">
        <v>11</v>
      </c>
      <c r="D380" s="4" t="s">
        <v>761</v>
      </c>
      <c r="E380" s="18" t="s">
        <v>764</v>
      </c>
      <c r="F380" s="18" t="s">
        <v>765</v>
      </c>
      <c r="G380" s="10" t="s">
        <v>83</v>
      </c>
      <c r="H380" s="10" t="s">
        <v>20</v>
      </c>
      <c r="I380" s="11">
        <v>5</v>
      </c>
      <c r="J380" s="11">
        <v>5</v>
      </c>
      <c r="K380" s="11"/>
      <c r="L380"/>
      <c r="M380"/>
      <c r="N380"/>
      <c r="O380"/>
      <c r="P380"/>
      <c r="Q380"/>
      <c r="R380"/>
    </row>
    <row r="381" spans="1:18" s="7" customFormat="1" ht="30.6" x14ac:dyDescent="0.3">
      <c r="A381" s="24">
        <v>369</v>
      </c>
      <c r="B381" s="12">
        <v>3</v>
      </c>
      <c r="C381" s="4" t="s">
        <v>11</v>
      </c>
      <c r="D381" s="4" t="s">
        <v>761</v>
      </c>
      <c r="E381" s="18" t="s">
        <v>766</v>
      </c>
      <c r="F381" s="18" t="s">
        <v>767</v>
      </c>
      <c r="G381" s="10" t="s">
        <v>83</v>
      </c>
      <c r="H381" s="10" t="s">
        <v>20</v>
      </c>
      <c r="I381" s="11">
        <v>5</v>
      </c>
      <c r="J381" s="11">
        <v>5</v>
      </c>
      <c r="K381" s="11"/>
      <c r="L381"/>
      <c r="M381"/>
      <c r="N381"/>
      <c r="O381"/>
      <c r="P381"/>
      <c r="Q381"/>
      <c r="R381"/>
    </row>
    <row r="382" spans="1:18" s="7" customFormat="1" ht="30.6" x14ac:dyDescent="0.3">
      <c r="A382" s="24">
        <v>370</v>
      </c>
      <c r="B382" s="12">
        <v>4</v>
      </c>
      <c r="C382" s="4" t="s">
        <v>11</v>
      </c>
      <c r="D382" s="4" t="s">
        <v>761</v>
      </c>
      <c r="E382" s="18" t="s">
        <v>768</v>
      </c>
      <c r="F382" s="18" t="s">
        <v>769</v>
      </c>
      <c r="G382" s="10" t="s">
        <v>83</v>
      </c>
      <c r="H382" s="10" t="s">
        <v>20</v>
      </c>
      <c r="I382" s="11">
        <v>5</v>
      </c>
      <c r="J382" s="11">
        <v>5</v>
      </c>
      <c r="K382" s="11"/>
      <c r="L382"/>
      <c r="M382"/>
      <c r="N382"/>
      <c r="O382"/>
      <c r="P382"/>
      <c r="Q382"/>
      <c r="R382"/>
    </row>
    <row r="383" spans="1:18" s="7" customFormat="1" ht="41.4" x14ac:dyDescent="0.3">
      <c r="A383" s="24">
        <v>371</v>
      </c>
      <c r="B383" s="12">
        <v>5</v>
      </c>
      <c r="C383" s="4" t="s">
        <v>11</v>
      </c>
      <c r="D383" s="4" t="s">
        <v>761</v>
      </c>
      <c r="E383" s="18" t="s">
        <v>770</v>
      </c>
      <c r="F383" s="18" t="s">
        <v>771</v>
      </c>
      <c r="G383" s="10" t="s">
        <v>83</v>
      </c>
      <c r="H383" s="10" t="s">
        <v>20</v>
      </c>
      <c r="I383" s="11">
        <v>5</v>
      </c>
      <c r="J383" s="11">
        <v>5</v>
      </c>
      <c r="K383" s="11"/>
      <c r="L383"/>
      <c r="M383"/>
      <c r="N383"/>
      <c r="O383"/>
      <c r="P383"/>
      <c r="Q383"/>
      <c r="R383"/>
    </row>
    <row r="384" spans="1:18" s="7" customFormat="1" ht="41.4" x14ac:dyDescent="0.3">
      <c r="A384" s="24">
        <v>372</v>
      </c>
      <c r="B384" s="12">
        <v>6</v>
      </c>
      <c r="C384" s="4" t="s">
        <v>11</v>
      </c>
      <c r="D384" s="4" t="s">
        <v>761</v>
      </c>
      <c r="E384" s="18" t="s">
        <v>772</v>
      </c>
      <c r="F384" s="18" t="s">
        <v>773</v>
      </c>
      <c r="G384" s="10" t="s">
        <v>83</v>
      </c>
      <c r="H384" s="10" t="s">
        <v>20</v>
      </c>
      <c r="I384" s="11">
        <v>5</v>
      </c>
      <c r="J384" s="11">
        <v>5</v>
      </c>
      <c r="K384" s="11"/>
      <c r="L384"/>
      <c r="M384"/>
      <c r="N384"/>
      <c r="O384"/>
      <c r="P384"/>
      <c r="Q384"/>
      <c r="R384"/>
    </row>
    <row r="385" spans="1:18" s="7" customFormat="1" ht="30.6" x14ac:dyDescent="0.3">
      <c r="A385" s="24">
        <v>373</v>
      </c>
      <c r="B385" s="12">
        <v>7</v>
      </c>
      <c r="C385" s="4" t="s">
        <v>11</v>
      </c>
      <c r="D385" s="4" t="s">
        <v>761</v>
      </c>
      <c r="E385" s="18" t="s">
        <v>774</v>
      </c>
      <c r="F385" s="18" t="s">
        <v>775</v>
      </c>
      <c r="G385" s="10" t="s">
        <v>83</v>
      </c>
      <c r="H385" s="10" t="s">
        <v>20</v>
      </c>
      <c r="I385" s="11">
        <v>5</v>
      </c>
      <c r="J385" s="11">
        <v>5</v>
      </c>
      <c r="K385" s="11"/>
      <c r="L385"/>
      <c r="M385"/>
      <c r="N385"/>
      <c r="O385"/>
      <c r="P385"/>
      <c r="Q385"/>
      <c r="R385"/>
    </row>
    <row r="386" spans="1:18" s="7" customFormat="1" ht="41.4" x14ac:dyDescent="0.3">
      <c r="A386" s="24">
        <v>374</v>
      </c>
      <c r="B386" s="12">
        <v>8</v>
      </c>
      <c r="C386" s="4" t="s">
        <v>11</v>
      </c>
      <c r="D386" s="4" t="s">
        <v>761</v>
      </c>
      <c r="E386" s="18" t="s">
        <v>776</v>
      </c>
      <c r="F386" s="18" t="s">
        <v>777</v>
      </c>
      <c r="G386" s="10" t="s">
        <v>83</v>
      </c>
      <c r="H386" s="10" t="s">
        <v>20</v>
      </c>
      <c r="I386" s="11">
        <v>4</v>
      </c>
      <c r="J386" s="11">
        <v>4</v>
      </c>
      <c r="K386" s="11"/>
      <c r="L386"/>
      <c r="M386"/>
      <c r="N386"/>
      <c r="O386"/>
      <c r="P386"/>
      <c r="Q386"/>
      <c r="R386"/>
    </row>
    <row r="387" spans="1:18" s="7" customFormat="1" ht="30.6" x14ac:dyDescent="0.3">
      <c r="A387" s="24">
        <v>375</v>
      </c>
      <c r="B387" s="12">
        <v>9</v>
      </c>
      <c r="C387" s="4" t="s">
        <v>11</v>
      </c>
      <c r="D387" s="4" t="s">
        <v>761</v>
      </c>
      <c r="E387" s="18" t="s">
        <v>778</v>
      </c>
      <c r="F387" s="18" t="s">
        <v>779</v>
      </c>
      <c r="G387" s="10" t="s">
        <v>83</v>
      </c>
      <c r="H387" s="10" t="s">
        <v>20</v>
      </c>
      <c r="I387" s="11">
        <v>4</v>
      </c>
      <c r="J387" s="11">
        <v>4</v>
      </c>
      <c r="K387" s="11"/>
      <c r="L387"/>
      <c r="M387"/>
      <c r="N387"/>
      <c r="O387"/>
      <c r="P387"/>
      <c r="Q387"/>
      <c r="R387"/>
    </row>
    <row r="388" spans="1:18" s="7" customFormat="1" ht="30.6" x14ac:dyDescent="0.3">
      <c r="A388" s="24">
        <v>376</v>
      </c>
      <c r="B388" s="12">
        <v>10</v>
      </c>
      <c r="C388" s="4" t="s">
        <v>11</v>
      </c>
      <c r="D388" s="4" t="s">
        <v>761</v>
      </c>
      <c r="E388" s="18" t="s">
        <v>780</v>
      </c>
      <c r="F388" s="18" t="s">
        <v>781</v>
      </c>
      <c r="G388" s="10" t="s">
        <v>83</v>
      </c>
      <c r="H388" s="10" t="s">
        <v>20</v>
      </c>
      <c r="I388" s="11">
        <v>4</v>
      </c>
      <c r="J388" s="11">
        <v>4</v>
      </c>
      <c r="K388" s="11"/>
      <c r="L388"/>
      <c r="M388"/>
      <c r="N388"/>
      <c r="O388"/>
      <c r="P388"/>
      <c r="Q388"/>
      <c r="R388"/>
    </row>
    <row r="389" spans="1:18" s="7" customFormat="1" ht="30.6" x14ac:dyDescent="0.3">
      <c r="A389" s="24">
        <v>377</v>
      </c>
      <c r="B389" s="12">
        <v>11</v>
      </c>
      <c r="C389" s="4" t="s">
        <v>11</v>
      </c>
      <c r="D389" s="4" t="s">
        <v>761</v>
      </c>
      <c r="E389" s="18" t="s">
        <v>782</v>
      </c>
      <c r="F389" s="18" t="s">
        <v>783</v>
      </c>
      <c r="G389" s="10" t="s">
        <v>83</v>
      </c>
      <c r="H389" s="10" t="s">
        <v>20</v>
      </c>
      <c r="I389" s="11">
        <v>4</v>
      </c>
      <c r="J389" s="11">
        <v>4</v>
      </c>
      <c r="K389" s="11"/>
      <c r="L389"/>
      <c r="M389"/>
      <c r="N389"/>
      <c r="O389"/>
      <c r="P389"/>
      <c r="Q389"/>
      <c r="R389"/>
    </row>
    <row r="390" spans="1:18" s="7" customFormat="1" ht="30.6" x14ac:dyDescent="0.3">
      <c r="A390" s="24">
        <v>378</v>
      </c>
      <c r="B390" s="12">
        <v>12</v>
      </c>
      <c r="C390" s="4" t="s">
        <v>11</v>
      </c>
      <c r="D390" s="4" t="s">
        <v>761</v>
      </c>
      <c r="E390" s="18" t="s">
        <v>784</v>
      </c>
      <c r="F390" s="18" t="s">
        <v>785</v>
      </c>
      <c r="G390" s="10" t="s">
        <v>83</v>
      </c>
      <c r="H390" s="10" t="s">
        <v>20</v>
      </c>
      <c r="I390" s="11">
        <v>4</v>
      </c>
      <c r="J390" s="11">
        <v>4</v>
      </c>
      <c r="K390" s="11"/>
      <c r="L390"/>
      <c r="M390"/>
      <c r="N390"/>
      <c r="O390"/>
      <c r="P390"/>
      <c r="Q390"/>
      <c r="R390"/>
    </row>
    <row r="391" spans="1:18" s="7" customFormat="1" ht="30.6" x14ac:dyDescent="0.3">
      <c r="A391" s="24">
        <v>379</v>
      </c>
      <c r="B391" s="12">
        <v>13</v>
      </c>
      <c r="C391" s="4" t="s">
        <v>11</v>
      </c>
      <c r="D391" s="4" t="s">
        <v>761</v>
      </c>
      <c r="E391" s="18" t="s">
        <v>786</v>
      </c>
      <c r="F391" s="18" t="s">
        <v>787</v>
      </c>
      <c r="G391" s="10" t="s">
        <v>83</v>
      </c>
      <c r="H391" s="10" t="s">
        <v>20</v>
      </c>
      <c r="I391" s="11">
        <v>4</v>
      </c>
      <c r="J391" s="11">
        <v>4</v>
      </c>
      <c r="K391" s="11"/>
      <c r="L391"/>
      <c r="M391"/>
      <c r="N391"/>
      <c r="O391"/>
      <c r="P391"/>
      <c r="Q391"/>
      <c r="R391"/>
    </row>
    <row r="392" spans="1:18" s="7" customFormat="1" ht="30.6" x14ac:dyDescent="0.3">
      <c r="A392" s="24">
        <v>380</v>
      </c>
      <c r="B392" s="12">
        <v>14</v>
      </c>
      <c r="C392" s="4" t="s">
        <v>11</v>
      </c>
      <c r="D392" s="4" t="s">
        <v>761</v>
      </c>
      <c r="E392" s="18" t="s">
        <v>788</v>
      </c>
      <c r="F392" s="18" t="s">
        <v>789</v>
      </c>
      <c r="G392" s="10" t="s">
        <v>83</v>
      </c>
      <c r="H392" s="10" t="s">
        <v>20</v>
      </c>
      <c r="I392" s="11">
        <v>3</v>
      </c>
      <c r="J392" s="11">
        <v>3</v>
      </c>
      <c r="K392" s="11"/>
      <c r="L392"/>
      <c r="M392"/>
      <c r="N392"/>
      <c r="O392"/>
      <c r="P392"/>
      <c r="Q392"/>
      <c r="R392"/>
    </row>
    <row r="393" spans="1:18" s="7" customFormat="1" ht="30.6" x14ac:dyDescent="0.3">
      <c r="A393" s="24">
        <v>381</v>
      </c>
      <c r="B393" s="12">
        <v>15</v>
      </c>
      <c r="C393" s="4" t="s">
        <v>11</v>
      </c>
      <c r="D393" s="4" t="s">
        <v>761</v>
      </c>
      <c r="E393" s="18" t="s">
        <v>790</v>
      </c>
      <c r="F393" s="18" t="s">
        <v>791</v>
      </c>
      <c r="G393" s="10" t="s">
        <v>83</v>
      </c>
      <c r="H393" s="10" t="s">
        <v>20</v>
      </c>
      <c r="I393" s="11">
        <v>3</v>
      </c>
      <c r="J393" s="11">
        <v>3</v>
      </c>
      <c r="K393" s="11"/>
      <c r="L393"/>
      <c r="M393"/>
      <c r="N393"/>
      <c r="O393"/>
      <c r="P393"/>
      <c r="Q393"/>
      <c r="R393"/>
    </row>
    <row r="394" spans="1:18" s="7" customFormat="1" ht="41.4" x14ac:dyDescent="0.3">
      <c r="A394" s="24">
        <v>382</v>
      </c>
      <c r="B394" s="12">
        <v>16</v>
      </c>
      <c r="C394" s="4" t="s">
        <v>11</v>
      </c>
      <c r="D394" s="4" t="s">
        <v>761</v>
      </c>
      <c r="E394" s="18" t="s">
        <v>792</v>
      </c>
      <c r="F394" s="18" t="s">
        <v>793</v>
      </c>
      <c r="G394" s="10" t="s">
        <v>83</v>
      </c>
      <c r="H394" s="10" t="s">
        <v>20</v>
      </c>
      <c r="I394" s="11">
        <v>3</v>
      </c>
      <c r="J394" s="11">
        <v>3</v>
      </c>
      <c r="K394" s="11"/>
      <c r="L394"/>
      <c r="M394"/>
      <c r="N394"/>
      <c r="O394"/>
      <c r="P394"/>
      <c r="Q394"/>
      <c r="R394"/>
    </row>
    <row r="395" spans="1:18" s="7" customFormat="1" ht="30.6" x14ac:dyDescent="0.3">
      <c r="A395" s="24">
        <v>383</v>
      </c>
      <c r="B395" s="12">
        <v>17</v>
      </c>
      <c r="C395" s="4" t="s">
        <v>11</v>
      </c>
      <c r="D395" s="4" t="s">
        <v>761</v>
      </c>
      <c r="E395" s="18" t="s">
        <v>794</v>
      </c>
      <c r="F395" s="18" t="s">
        <v>795</v>
      </c>
      <c r="G395" s="10" t="s">
        <v>83</v>
      </c>
      <c r="H395" s="10" t="s">
        <v>20</v>
      </c>
      <c r="I395" s="11">
        <v>3</v>
      </c>
      <c r="J395" s="11">
        <v>3</v>
      </c>
      <c r="K395" s="11"/>
      <c r="L395"/>
      <c r="M395"/>
      <c r="N395"/>
      <c r="O395"/>
      <c r="P395"/>
      <c r="Q395"/>
      <c r="R395"/>
    </row>
    <row r="396" spans="1:18" s="7" customFormat="1" ht="41.4" x14ac:dyDescent="0.3">
      <c r="A396" s="24">
        <v>384</v>
      </c>
      <c r="B396" s="12">
        <v>18</v>
      </c>
      <c r="C396" s="4" t="s">
        <v>11</v>
      </c>
      <c r="D396" s="4" t="s">
        <v>761</v>
      </c>
      <c r="E396" s="18" t="s">
        <v>796</v>
      </c>
      <c r="F396" s="18" t="s">
        <v>797</v>
      </c>
      <c r="G396" s="10" t="s">
        <v>83</v>
      </c>
      <c r="H396" s="10" t="s">
        <v>20</v>
      </c>
      <c r="I396" s="11">
        <v>2</v>
      </c>
      <c r="J396" s="11">
        <v>2</v>
      </c>
      <c r="K396" s="11"/>
      <c r="L396"/>
      <c r="M396"/>
      <c r="N396"/>
      <c r="O396"/>
      <c r="P396"/>
      <c r="Q396"/>
      <c r="R396"/>
    </row>
    <row r="397" spans="1:18" s="7" customFormat="1" ht="41.4" x14ac:dyDescent="0.3">
      <c r="A397" s="24">
        <v>385</v>
      </c>
      <c r="B397" s="12">
        <v>19</v>
      </c>
      <c r="C397" s="4" t="s">
        <v>11</v>
      </c>
      <c r="D397" s="4" t="s">
        <v>761</v>
      </c>
      <c r="E397" s="18" t="s">
        <v>798</v>
      </c>
      <c r="F397" s="18" t="s">
        <v>799</v>
      </c>
      <c r="G397" s="10" t="s">
        <v>83</v>
      </c>
      <c r="H397" s="10" t="s">
        <v>20</v>
      </c>
      <c r="I397" s="11">
        <v>2</v>
      </c>
      <c r="J397" s="11">
        <v>2</v>
      </c>
      <c r="K397" s="11"/>
      <c r="L397"/>
      <c r="M397"/>
      <c r="N397"/>
      <c r="O397"/>
      <c r="P397"/>
      <c r="Q397"/>
      <c r="R397"/>
    </row>
    <row r="398" spans="1:18" s="7" customFormat="1" ht="30.6" x14ac:dyDescent="0.3">
      <c r="A398" s="24">
        <v>386</v>
      </c>
      <c r="B398" s="12">
        <v>20</v>
      </c>
      <c r="C398" s="4" t="s">
        <v>11</v>
      </c>
      <c r="D398" s="4" t="s">
        <v>761</v>
      </c>
      <c r="E398" s="18" t="s">
        <v>800</v>
      </c>
      <c r="F398" s="18" t="s">
        <v>801</v>
      </c>
      <c r="G398" s="10" t="s">
        <v>83</v>
      </c>
      <c r="H398" s="10" t="s">
        <v>20</v>
      </c>
      <c r="I398" s="11">
        <v>2</v>
      </c>
      <c r="J398" s="11">
        <v>2</v>
      </c>
      <c r="K398" s="11"/>
      <c r="L398"/>
      <c r="M398"/>
      <c r="N398"/>
      <c r="O398"/>
      <c r="P398"/>
      <c r="Q398"/>
      <c r="R398"/>
    </row>
    <row r="399" spans="1:18" s="7" customFormat="1" ht="41.4" x14ac:dyDescent="0.3">
      <c r="A399" s="24">
        <v>387</v>
      </c>
      <c r="B399" s="12">
        <v>21</v>
      </c>
      <c r="C399" s="4" t="s">
        <v>11</v>
      </c>
      <c r="D399" s="4" t="s">
        <v>761</v>
      </c>
      <c r="E399" s="18" t="s">
        <v>802</v>
      </c>
      <c r="F399" s="18" t="s">
        <v>803</v>
      </c>
      <c r="G399" s="10" t="s">
        <v>83</v>
      </c>
      <c r="H399" s="10" t="s">
        <v>20</v>
      </c>
      <c r="I399" s="11">
        <v>2</v>
      </c>
      <c r="J399" s="11">
        <v>2</v>
      </c>
      <c r="K399" s="11"/>
      <c r="L399"/>
      <c r="M399"/>
      <c r="N399"/>
      <c r="O399"/>
      <c r="P399"/>
      <c r="Q399"/>
      <c r="R399"/>
    </row>
    <row r="400" spans="1:18" s="7" customFormat="1" ht="41.4" x14ac:dyDescent="0.3">
      <c r="A400" s="24">
        <v>388</v>
      </c>
      <c r="B400" s="3">
        <v>1</v>
      </c>
      <c r="C400" s="4" t="s">
        <v>11</v>
      </c>
      <c r="D400" s="4" t="s">
        <v>804</v>
      </c>
      <c r="E400" s="18" t="s">
        <v>805</v>
      </c>
      <c r="F400" s="18" t="s">
        <v>806</v>
      </c>
      <c r="G400" s="10" t="s">
        <v>83</v>
      </c>
      <c r="H400" s="10" t="s">
        <v>20</v>
      </c>
      <c r="I400" s="11">
        <v>5</v>
      </c>
      <c r="J400" s="11">
        <v>5</v>
      </c>
      <c r="K400" s="11"/>
      <c r="L400"/>
      <c r="M400"/>
      <c r="N400"/>
      <c r="O400"/>
      <c r="P400"/>
      <c r="Q400"/>
      <c r="R400"/>
    </row>
    <row r="401" spans="1:18" s="7" customFormat="1" ht="41.4" x14ac:dyDescent="0.3">
      <c r="A401" s="24">
        <v>389</v>
      </c>
      <c r="B401" s="3">
        <v>2</v>
      </c>
      <c r="C401" s="4" t="s">
        <v>11</v>
      </c>
      <c r="D401" s="4" t="s">
        <v>804</v>
      </c>
      <c r="E401" s="18" t="s">
        <v>807</v>
      </c>
      <c r="F401" s="18" t="s">
        <v>808</v>
      </c>
      <c r="G401" s="10" t="s">
        <v>83</v>
      </c>
      <c r="H401" s="10" t="s">
        <v>20</v>
      </c>
      <c r="I401" s="11">
        <v>5</v>
      </c>
      <c r="J401" s="11">
        <v>5</v>
      </c>
      <c r="K401" s="11"/>
      <c r="L401"/>
      <c r="M401"/>
      <c r="N401"/>
      <c r="O401"/>
      <c r="P401"/>
      <c r="Q401"/>
      <c r="R401"/>
    </row>
    <row r="402" spans="1:18" s="7" customFormat="1" ht="41.4" x14ac:dyDescent="0.3">
      <c r="A402" s="24">
        <v>390</v>
      </c>
      <c r="B402" s="3">
        <v>3</v>
      </c>
      <c r="C402" s="4" t="s">
        <v>11</v>
      </c>
      <c r="D402" s="4" t="s">
        <v>804</v>
      </c>
      <c r="E402" s="18" t="s">
        <v>809</v>
      </c>
      <c r="F402" s="18" t="s">
        <v>810</v>
      </c>
      <c r="G402" s="10" t="s">
        <v>83</v>
      </c>
      <c r="H402" s="10" t="s">
        <v>20</v>
      </c>
      <c r="I402" s="11">
        <v>5</v>
      </c>
      <c r="J402" s="11">
        <v>5</v>
      </c>
      <c r="K402" s="11"/>
      <c r="L402"/>
      <c r="M402"/>
      <c r="N402"/>
      <c r="O402"/>
      <c r="P402"/>
      <c r="Q402"/>
      <c r="R402"/>
    </row>
    <row r="403" spans="1:18" s="7" customFormat="1" ht="30.6" x14ac:dyDescent="0.3">
      <c r="A403" s="24">
        <v>391</v>
      </c>
      <c r="B403" s="3">
        <v>4</v>
      </c>
      <c r="C403" s="4" t="s">
        <v>11</v>
      </c>
      <c r="D403" s="4" t="s">
        <v>804</v>
      </c>
      <c r="E403" s="18" t="s">
        <v>811</v>
      </c>
      <c r="F403" s="18" t="s">
        <v>812</v>
      </c>
      <c r="G403" s="10" t="s">
        <v>83</v>
      </c>
      <c r="H403" s="10" t="s">
        <v>20</v>
      </c>
      <c r="I403" s="11">
        <v>5</v>
      </c>
      <c r="J403" s="11">
        <v>5</v>
      </c>
      <c r="K403" s="11"/>
      <c r="L403"/>
      <c r="M403"/>
      <c r="N403"/>
      <c r="O403"/>
      <c r="P403"/>
      <c r="Q403"/>
      <c r="R403"/>
    </row>
    <row r="404" spans="1:18" s="7" customFormat="1" ht="41.4" x14ac:dyDescent="0.3">
      <c r="A404" s="24">
        <v>392</v>
      </c>
      <c r="B404" s="3">
        <v>5</v>
      </c>
      <c r="C404" s="4" t="s">
        <v>11</v>
      </c>
      <c r="D404" s="4" t="s">
        <v>804</v>
      </c>
      <c r="E404" s="18" t="s">
        <v>813</v>
      </c>
      <c r="F404" s="18" t="s">
        <v>814</v>
      </c>
      <c r="G404" s="10" t="s">
        <v>83</v>
      </c>
      <c r="H404" s="10" t="s">
        <v>20</v>
      </c>
      <c r="I404" s="11">
        <v>5</v>
      </c>
      <c r="J404" s="11">
        <v>5</v>
      </c>
      <c r="K404" s="11"/>
      <c r="L404"/>
      <c r="M404"/>
      <c r="N404"/>
      <c r="O404"/>
      <c r="P404"/>
      <c r="Q404"/>
      <c r="R404"/>
    </row>
    <row r="405" spans="1:18" s="7" customFormat="1" ht="41.4" x14ac:dyDescent="0.3">
      <c r="A405" s="24">
        <v>393</v>
      </c>
      <c r="B405" s="3">
        <v>6</v>
      </c>
      <c r="C405" s="4" t="s">
        <v>11</v>
      </c>
      <c r="D405" s="4" t="s">
        <v>804</v>
      </c>
      <c r="E405" s="18" t="s">
        <v>815</v>
      </c>
      <c r="F405" s="18" t="s">
        <v>816</v>
      </c>
      <c r="G405" s="10" t="s">
        <v>83</v>
      </c>
      <c r="H405" s="10" t="s">
        <v>20</v>
      </c>
      <c r="I405" s="11">
        <v>5</v>
      </c>
      <c r="J405" s="11">
        <v>5</v>
      </c>
      <c r="K405" s="11"/>
      <c r="L405"/>
      <c r="M405"/>
      <c r="N405"/>
      <c r="O405"/>
      <c r="P405"/>
      <c r="Q405"/>
      <c r="R405"/>
    </row>
    <row r="406" spans="1:18" s="7" customFormat="1" ht="41.4" x14ac:dyDescent="0.3">
      <c r="A406" s="24">
        <v>394</v>
      </c>
      <c r="B406" s="3">
        <v>7</v>
      </c>
      <c r="C406" s="4" t="s">
        <v>11</v>
      </c>
      <c r="D406" s="4" t="s">
        <v>804</v>
      </c>
      <c r="E406" s="18" t="s">
        <v>817</v>
      </c>
      <c r="F406" s="18" t="s">
        <v>818</v>
      </c>
      <c r="G406" s="10" t="s">
        <v>83</v>
      </c>
      <c r="H406" s="10" t="s">
        <v>20</v>
      </c>
      <c r="I406" s="11">
        <v>4</v>
      </c>
      <c r="J406" s="11">
        <v>4</v>
      </c>
      <c r="K406" s="11"/>
      <c r="L406"/>
      <c r="M406"/>
      <c r="N406"/>
      <c r="O406"/>
      <c r="P406"/>
      <c r="Q406"/>
      <c r="R406"/>
    </row>
    <row r="407" spans="1:18" s="7" customFormat="1" ht="41.4" x14ac:dyDescent="0.3">
      <c r="A407" s="24">
        <v>395</v>
      </c>
      <c r="B407" s="3">
        <v>8</v>
      </c>
      <c r="C407" s="4" t="s">
        <v>11</v>
      </c>
      <c r="D407" s="4" t="s">
        <v>804</v>
      </c>
      <c r="E407" s="18" t="s">
        <v>819</v>
      </c>
      <c r="F407" s="18" t="s">
        <v>820</v>
      </c>
      <c r="G407" s="10" t="s">
        <v>83</v>
      </c>
      <c r="H407" s="10" t="s">
        <v>20</v>
      </c>
      <c r="I407" s="11">
        <v>4</v>
      </c>
      <c r="J407" s="11">
        <v>4</v>
      </c>
      <c r="K407" s="11"/>
      <c r="L407"/>
      <c r="M407"/>
      <c r="N407"/>
      <c r="O407"/>
      <c r="P407"/>
      <c r="Q407"/>
      <c r="R407"/>
    </row>
    <row r="408" spans="1:18" s="7" customFormat="1" ht="41.4" x14ac:dyDescent="0.3">
      <c r="A408" s="24">
        <v>396</v>
      </c>
      <c r="B408" s="3">
        <v>9</v>
      </c>
      <c r="C408" s="4" t="s">
        <v>11</v>
      </c>
      <c r="D408" s="4" t="s">
        <v>804</v>
      </c>
      <c r="E408" s="18" t="s">
        <v>821</v>
      </c>
      <c r="F408" s="18" t="s">
        <v>822</v>
      </c>
      <c r="G408" s="10" t="s">
        <v>83</v>
      </c>
      <c r="H408" s="10" t="s">
        <v>20</v>
      </c>
      <c r="I408" s="11">
        <v>4</v>
      </c>
      <c r="J408" s="11">
        <v>4</v>
      </c>
      <c r="K408" s="11"/>
      <c r="L408"/>
      <c r="M408"/>
      <c r="N408"/>
      <c r="O408"/>
      <c r="P408"/>
      <c r="Q408"/>
      <c r="R408"/>
    </row>
    <row r="409" spans="1:18" s="7" customFormat="1" ht="41.4" x14ac:dyDescent="0.3">
      <c r="A409" s="24">
        <v>397</v>
      </c>
      <c r="B409" s="3">
        <v>10</v>
      </c>
      <c r="C409" s="4" t="s">
        <v>11</v>
      </c>
      <c r="D409" s="4" t="s">
        <v>804</v>
      </c>
      <c r="E409" s="18" t="s">
        <v>823</v>
      </c>
      <c r="F409" s="18" t="s">
        <v>824</v>
      </c>
      <c r="G409" s="10" t="s">
        <v>83</v>
      </c>
      <c r="H409" s="10" t="s">
        <v>20</v>
      </c>
      <c r="I409" s="11">
        <v>4</v>
      </c>
      <c r="J409" s="11">
        <v>4</v>
      </c>
      <c r="K409" s="11"/>
      <c r="L409"/>
      <c r="M409"/>
      <c r="N409"/>
      <c r="O409"/>
      <c r="P409"/>
      <c r="Q409"/>
      <c r="R409"/>
    </row>
    <row r="410" spans="1:18" s="7" customFormat="1" ht="41.4" x14ac:dyDescent="0.3">
      <c r="A410" s="24">
        <v>398</v>
      </c>
      <c r="B410" s="3">
        <v>11</v>
      </c>
      <c r="C410" s="4" t="s">
        <v>11</v>
      </c>
      <c r="D410" s="4" t="s">
        <v>804</v>
      </c>
      <c r="E410" s="18" t="s">
        <v>825</v>
      </c>
      <c r="F410" s="18" t="s">
        <v>826</v>
      </c>
      <c r="G410" s="10" t="s">
        <v>83</v>
      </c>
      <c r="H410" s="10" t="s">
        <v>20</v>
      </c>
      <c r="I410" s="11">
        <v>4</v>
      </c>
      <c r="J410" s="11">
        <v>4</v>
      </c>
      <c r="K410" s="11"/>
      <c r="L410"/>
      <c r="M410"/>
      <c r="N410"/>
      <c r="O410"/>
      <c r="P410"/>
      <c r="Q410"/>
      <c r="R410"/>
    </row>
    <row r="411" spans="1:18" s="7" customFormat="1" ht="41.4" x14ac:dyDescent="0.3">
      <c r="A411" s="24">
        <v>399</v>
      </c>
      <c r="B411" s="3">
        <v>12</v>
      </c>
      <c r="C411" s="4" t="s">
        <v>11</v>
      </c>
      <c r="D411" s="4" t="s">
        <v>804</v>
      </c>
      <c r="E411" s="18" t="s">
        <v>827</v>
      </c>
      <c r="F411" s="18" t="s">
        <v>828</v>
      </c>
      <c r="G411" s="10" t="s">
        <v>83</v>
      </c>
      <c r="H411" s="10" t="s">
        <v>20</v>
      </c>
      <c r="I411" s="11">
        <v>3</v>
      </c>
      <c r="J411" s="11">
        <v>3</v>
      </c>
      <c r="K411" s="11"/>
      <c r="L411"/>
      <c r="M411"/>
      <c r="N411"/>
      <c r="O411"/>
      <c r="P411"/>
      <c r="Q411"/>
      <c r="R411"/>
    </row>
    <row r="412" spans="1:18" s="7" customFormat="1" ht="30.6" x14ac:dyDescent="0.3">
      <c r="A412" s="24">
        <v>400</v>
      </c>
      <c r="B412" s="3">
        <v>13</v>
      </c>
      <c r="C412" s="4" t="s">
        <v>11</v>
      </c>
      <c r="D412" s="4" t="s">
        <v>804</v>
      </c>
      <c r="E412" s="18" t="s">
        <v>829</v>
      </c>
      <c r="F412" s="18" t="s">
        <v>830</v>
      </c>
      <c r="G412" s="10" t="s">
        <v>83</v>
      </c>
      <c r="H412" s="10" t="s">
        <v>20</v>
      </c>
      <c r="I412" s="11">
        <v>3</v>
      </c>
      <c r="J412" s="11">
        <v>3</v>
      </c>
      <c r="K412" s="11"/>
      <c r="L412"/>
      <c r="M412"/>
      <c r="N412"/>
      <c r="O412"/>
      <c r="P412"/>
      <c r="Q412"/>
      <c r="R412"/>
    </row>
    <row r="413" spans="1:18" s="7" customFormat="1" ht="41.4" x14ac:dyDescent="0.3">
      <c r="A413" s="24">
        <v>401</v>
      </c>
      <c r="B413" s="3">
        <v>14</v>
      </c>
      <c r="C413" s="4" t="s">
        <v>11</v>
      </c>
      <c r="D413" s="4" t="s">
        <v>804</v>
      </c>
      <c r="E413" s="18" t="s">
        <v>831</v>
      </c>
      <c r="F413" s="18" t="s">
        <v>832</v>
      </c>
      <c r="G413" s="10" t="s">
        <v>83</v>
      </c>
      <c r="H413" s="10" t="s">
        <v>20</v>
      </c>
      <c r="I413" s="11">
        <v>3</v>
      </c>
      <c r="J413" s="11">
        <v>3</v>
      </c>
      <c r="K413" s="11"/>
      <c r="L413"/>
      <c r="M413"/>
      <c r="N413"/>
      <c r="O413"/>
      <c r="P413"/>
      <c r="Q413"/>
      <c r="R413"/>
    </row>
    <row r="414" spans="1:18" s="7" customFormat="1" ht="30.6" x14ac:dyDescent="0.3">
      <c r="A414" s="24">
        <v>402</v>
      </c>
      <c r="B414" s="3">
        <v>15</v>
      </c>
      <c r="C414" s="4" t="s">
        <v>11</v>
      </c>
      <c r="D414" s="4" t="s">
        <v>804</v>
      </c>
      <c r="E414" s="18" t="s">
        <v>833</v>
      </c>
      <c r="F414" s="18" t="s">
        <v>834</v>
      </c>
      <c r="G414" s="10" t="s">
        <v>83</v>
      </c>
      <c r="H414" s="10" t="s">
        <v>20</v>
      </c>
      <c r="I414" s="11">
        <v>3</v>
      </c>
      <c r="J414" s="11">
        <v>3</v>
      </c>
      <c r="K414" s="11"/>
      <c r="L414"/>
      <c r="M414"/>
      <c r="N414"/>
      <c r="O414"/>
      <c r="P414"/>
      <c r="Q414"/>
      <c r="R414"/>
    </row>
    <row r="415" spans="1:18" s="7" customFormat="1" ht="41.4" x14ac:dyDescent="0.3">
      <c r="A415" s="24">
        <v>403</v>
      </c>
      <c r="B415" s="3">
        <v>16</v>
      </c>
      <c r="C415" s="4" t="s">
        <v>11</v>
      </c>
      <c r="D415" s="4" t="s">
        <v>804</v>
      </c>
      <c r="E415" s="18" t="s">
        <v>835</v>
      </c>
      <c r="F415" s="18" t="s">
        <v>836</v>
      </c>
      <c r="G415" s="10" t="s">
        <v>83</v>
      </c>
      <c r="H415" s="10" t="s">
        <v>20</v>
      </c>
      <c r="I415" s="11">
        <v>3</v>
      </c>
      <c r="J415" s="11">
        <v>3</v>
      </c>
      <c r="K415" s="11"/>
      <c r="L415"/>
      <c r="M415"/>
      <c r="N415"/>
      <c r="O415"/>
      <c r="P415"/>
      <c r="Q415"/>
      <c r="R415"/>
    </row>
    <row r="416" spans="1:18" s="7" customFormat="1" ht="30.6" x14ac:dyDescent="0.3">
      <c r="A416" s="24">
        <v>404</v>
      </c>
      <c r="B416" s="3">
        <v>17</v>
      </c>
      <c r="C416" s="4" t="s">
        <v>11</v>
      </c>
      <c r="D416" s="4" t="s">
        <v>804</v>
      </c>
      <c r="E416" s="18" t="s">
        <v>800</v>
      </c>
      <c r="F416" s="18" t="s">
        <v>837</v>
      </c>
      <c r="G416" s="10" t="s">
        <v>83</v>
      </c>
      <c r="H416" s="10" t="s">
        <v>20</v>
      </c>
      <c r="I416" s="11">
        <v>2</v>
      </c>
      <c r="J416" s="11">
        <v>2</v>
      </c>
      <c r="K416" s="11"/>
      <c r="L416"/>
      <c r="M416"/>
      <c r="N416"/>
      <c r="O416"/>
      <c r="P416"/>
      <c r="Q416"/>
      <c r="R416"/>
    </row>
    <row r="417" spans="1:18" s="7" customFormat="1" ht="41.4" x14ac:dyDescent="0.3">
      <c r="A417" s="24">
        <v>405</v>
      </c>
      <c r="B417" s="3">
        <v>18</v>
      </c>
      <c r="C417" s="4" t="s">
        <v>11</v>
      </c>
      <c r="D417" s="4" t="s">
        <v>804</v>
      </c>
      <c r="E417" s="18" t="s">
        <v>838</v>
      </c>
      <c r="F417" s="18" t="s">
        <v>839</v>
      </c>
      <c r="G417" s="10" t="s">
        <v>83</v>
      </c>
      <c r="H417" s="10" t="s">
        <v>20</v>
      </c>
      <c r="I417" s="11">
        <v>2</v>
      </c>
      <c r="J417" s="11">
        <v>2</v>
      </c>
      <c r="K417" s="11"/>
      <c r="L417"/>
      <c r="M417"/>
      <c r="N417"/>
      <c r="O417"/>
      <c r="P417"/>
      <c r="Q417"/>
      <c r="R417"/>
    </row>
    <row r="418" spans="1:18" s="7" customFormat="1" ht="30.6" x14ac:dyDescent="0.3">
      <c r="A418" s="24">
        <v>406</v>
      </c>
      <c r="B418" s="3">
        <v>19</v>
      </c>
      <c r="C418" s="4" t="s">
        <v>11</v>
      </c>
      <c r="D418" s="4" t="s">
        <v>804</v>
      </c>
      <c r="E418" s="18" t="s">
        <v>840</v>
      </c>
      <c r="F418" s="18" t="s">
        <v>841</v>
      </c>
      <c r="G418" s="10" t="s">
        <v>83</v>
      </c>
      <c r="H418" s="10" t="s">
        <v>20</v>
      </c>
      <c r="I418" s="11">
        <v>1</v>
      </c>
      <c r="J418" s="11">
        <v>1</v>
      </c>
      <c r="K418" s="11"/>
      <c r="L418"/>
      <c r="M418"/>
      <c r="N418"/>
      <c r="O418"/>
      <c r="P418"/>
      <c r="Q418"/>
      <c r="R418"/>
    </row>
    <row r="419" spans="1:18" s="7" customFormat="1" ht="41.4" x14ac:dyDescent="0.3">
      <c r="A419" s="24">
        <v>407</v>
      </c>
      <c r="B419" s="12">
        <v>1</v>
      </c>
      <c r="C419" s="4" t="s">
        <v>11</v>
      </c>
      <c r="D419" s="4" t="s">
        <v>842</v>
      </c>
      <c r="E419" s="18" t="s">
        <v>843</v>
      </c>
      <c r="F419" s="18" t="s">
        <v>844</v>
      </c>
      <c r="G419" s="10" t="s">
        <v>83</v>
      </c>
      <c r="H419" s="10" t="s">
        <v>20</v>
      </c>
      <c r="I419" s="11">
        <v>5</v>
      </c>
      <c r="J419" s="11">
        <v>5</v>
      </c>
      <c r="K419" s="11"/>
      <c r="L419"/>
      <c r="M419"/>
      <c r="N419"/>
      <c r="O419"/>
      <c r="P419"/>
      <c r="Q419"/>
      <c r="R419"/>
    </row>
    <row r="420" spans="1:18" s="7" customFormat="1" ht="41.4" x14ac:dyDescent="0.3">
      <c r="A420" s="24">
        <v>408</v>
      </c>
      <c r="B420" s="12">
        <v>2</v>
      </c>
      <c r="C420" s="4" t="s">
        <v>11</v>
      </c>
      <c r="D420" s="4" t="s">
        <v>842</v>
      </c>
      <c r="E420" s="18" t="s">
        <v>845</v>
      </c>
      <c r="F420" s="18" t="s">
        <v>846</v>
      </c>
      <c r="G420" s="10" t="s">
        <v>83</v>
      </c>
      <c r="H420" s="10" t="s">
        <v>20</v>
      </c>
      <c r="I420" s="11">
        <v>5</v>
      </c>
      <c r="J420" s="11">
        <v>5</v>
      </c>
      <c r="K420" s="11"/>
      <c r="L420"/>
      <c r="M420"/>
      <c r="N420"/>
      <c r="O420"/>
      <c r="P420"/>
      <c r="Q420"/>
      <c r="R420"/>
    </row>
    <row r="421" spans="1:18" s="7" customFormat="1" ht="41.4" x14ac:dyDescent="0.3">
      <c r="A421" s="24">
        <v>409</v>
      </c>
      <c r="B421" s="12">
        <v>3</v>
      </c>
      <c r="C421" s="4" t="s">
        <v>11</v>
      </c>
      <c r="D421" s="4" t="s">
        <v>842</v>
      </c>
      <c r="E421" s="18" t="s">
        <v>847</v>
      </c>
      <c r="F421" s="18" t="s">
        <v>848</v>
      </c>
      <c r="G421" s="10" t="s">
        <v>83</v>
      </c>
      <c r="H421" s="10" t="s">
        <v>20</v>
      </c>
      <c r="I421" s="11">
        <v>5</v>
      </c>
      <c r="J421" s="11">
        <v>5</v>
      </c>
      <c r="K421" s="11"/>
      <c r="L421"/>
      <c r="M421"/>
      <c r="N421"/>
      <c r="O421"/>
      <c r="P421"/>
      <c r="Q421"/>
      <c r="R421"/>
    </row>
    <row r="422" spans="1:18" s="7" customFormat="1" ht="41.4" x14ac:dyDescent="0.3">
      <c r="A422" s="24">
        <v>410</v>
      </c>
      <c r="B422" s="12">
        <v>4</v>
      </c>
      <c r="C422" s="4" t="s">
        <v>11</v>
      </c>
      <c r="D422" s="4" t="s">
        <v>842</v>
      </c>
      <c r="E422" s="18" t="s">
        <v>849</v>
      </c>
      <c r="F422" s="18" t="s">
        <v>850</v>
      </c>
      <c r="G422" s="10" t="s">
        <v>83</v>
      </c>
      <c r="H422" s="10" t="s">
        <v>20</v>
      </c>
      <c r="I422" s="11">
        <v>5</v>
      </c>
      <c r="J422" s="11">
        <v>5</v>
      </c>
      <c r="K422" s="11"/>
      <c r="L422"/>
      <c r="M422"/>
      <c r="N422"/>
      <c r="O422"/>
      <c r="P422"/>
      <c r="Q422"/>
      <c r="R422"/>
    </row>
    <row r="423" spans="1:18" s="7" customFormat="1" ht="41.4" x14ac:dyDescent="0.3">
      <c r="A423" s="24">
        <v>411</v>
      </c>
      <c r="B423" s="12">
        <v>5</v>
      </c>
      <c r="C423" s="4" t="s">
        <v>11</v>
      </c>
      <c r="D423" s="4" t="s">
        <v>842</v>
      </c>
      <c r="E423" s="18" t="s">
        <v>851</v>
      </c>
      <c r="F423" s="18" t="s">
        <v>852</v>
      </c>
      <c r="G423" s="10" t="s">
        <v>83</v>
      </c>
      <c r="H423" s="10" t="s">
        <v>20</v>
      </c>
      <c r="I423" s="11">
        <v>5</v>
      </c>
      <c r="J423" s="11">
        <v>5</v>
      </c>
      <c r="K423" s="11"/>
      <c r="L423"/>
      <c r="M423"/>
      <c r="N423"/>
      <c r="O423"/>
      <c r="P423"/>
      <c r="Q423"/>
      <c r="R423"/>
    </row>
    <row r="424" spans="1:18" s="7" customFormat="1" ht="30.6" x14ac:dyDescent="0.3">
      <c r="A424" s="24">
        <v>412</v>
      </c>
      <c r="B424" s="12">
        <v>6</v>
      </c>
      <c r="C424" s="4" t="s">
        <v>11</v>
      </c>
      <c r="D424" s="4" t="s">
        <v>842</v>
      </c>
      <c r="E424" s="18" t="s">
        <v>853</v>
      </c>
      <c r="F424" s="18" t="s">
        <v>854</v>
      </c>
      <c r="G424" s="10" t="s">
        <v>83</v>
      </c>
      <c r="H424" s="10" t="s">
        <v>20</v>
      </c>
      <c r="I424" s="11">
        <v>4</v>
      </c>
      <c r="J424" s="11">
        <v>4</v>
      </c>
      <c r="K424" s="11"/>
      <c r="L424"/>
      <c r="M424"/>
      <c r="N424"/>
      <c r="O424"/>
      <c r="P424"/>
      <c r="Q424"/>
      <c r="R424"/>
    </row>
    <row r="425" spans="1:18" s="7" customFormat="1" ht="30.6" x14ac:dyDescent="0.3">
      <c r="A425" s="24">
        <v>413</v>
      </c>
      <c r="B425" s="12">
        <v>7</v>
      </c>
      <c r="C425" s="4" t="s">
        <v>11</v>
      </c>
      <c r="D425" s="4" t="s">
        <v>842</v>
      </c>
      <c r="E425" s="18" t="s">
        <v>355</v>
      </c>
      <c r="F425" s="18" t="s">
        <v>855</v>
      </c>
      <c r="G425" s="10" t="s">
        <v>83</v>
      </c>
      <c r="H425" s="10" t="s">
        <v>20</v>
      </c>
      <c r="I425" s="11">
        <v>4</v>
      </c>
      <c r="J425" s="11">
        <v>4</v>
      </c>
      <c r="K425" s="11"/>
      <c r="L425"/>
      <c r="M425"/>
      <c r="N425"/>
      <c r="O425"/>
      <c r="P425"/>
      <c r="Q425"/>
      <c r="R425"/>
    </row>
    <row r="426" spans="1:18" s="7" customFormat="1" ht="41.4" x14ac:dyDescent="0.3">
      <c r="A426" s="24">
        <v>414</v>
      </c>
      <c r="B426" s="12">
        <v>8</v>
      </c>
      <c r="C426" s="4" t="s">
        <v>11</v>
      </c>
      <c r="D426" s="4" t="s">
        <v>842</v>
      </c>
      <c r="E426" s="18" t="s">
        <v>856</v>
      </c>
      <c r="F426" s="18" t="s">
        <v>857</v>
      </c>
      <c r="G426" s="10" t="s">
        <v>83</v>
      </c>
      <c r="H426" s="10" t="s">
        <v>20</v>
      </c>
      <c r="I426" s="11">
        <v>4</v>
      </c>
      <c r="J426" s="11">
        <v>4</v>
      </c>
      <c r="K426" s="11"/>
      <c r="L426"/>
      <c r="M426"/>
      <c r="N426"/>
      <c r="O426"/>
      <c r="P426"/>
      <c r="Q426"/>
      <c r="R426"/>
    </row>
    <row r="427" spans="1:18" s="7" customFormat="1" ht="30.6" x14ac:dyDescent="0.3">
      <c r="A427" s="24">
        <v>415</v>
      </c>
      <c r="B427" s="12">
        <v>9</v>
      </c>
      <c r="C427" s="4" t="s">
        <v>11</v>
      </c>
      <c r="D427" s="4" t="s">
        <v>842</v>
      </c>
      <c r="E427" s="18" t="s">
        <v>858</v>
      </c>
      <c r="F427" s="18" t="s">
        <v>859</v>
      </c>
      <c r="G427" s="10" t="s">
        <v>83</v>
      </c>
      <c r="H427" s="10" t="s">
        <v>20</v>
      </c>
      <c r="I427" s="11">
        <v>3</v>
      </c>
      <c r="J427" s="11">
        <v>3</v>
      </c>
      <c r="K427" s="11"/>
      <c r="L427"/>
      <c r="M427"/>
      <c r="N427"/>
      <c r="O427"/>
      <c r="P427"/>
      <c r="Q427"/>
      <c r="R427"/>
    </row>
    <row r="428" spans="1:18" s="7" customFormat="1" ht="41.4" x14ac:dyDescent="0.3">
      <c r="A428" s="24">
        <v>416</v>
      </c>
      <c r="B428" s="12">
        <v>10</v>
      </c>
      <c r="C428" s="4" t="s">
        <v>11</v>
      </c>
      <c r="D428" s="4" t="s">
        <v>842</v>
      </c>
      <c r="E428" s="18" t="s">
        <v>860</v>
      </c>
      <c r="F428" s="18" t="s">
        <v>861</v>
      </c>
      <c r="G428" s="10" t="s">
        <v>83</v>
      </c>
      <c r="H428" s="10" t="s">
        <v>20</v>
      </c>
      <c r="I428" s="11">
        <v>3</v>
      </c>
      <c r="J428" s="11">
        <v>3</v>
      </c>
      <c r="K428" s="11"/>
      <c r="L428"/>
      <c r="M428"/>
      <c r="N428"/>
      <c r="O428"/>
      <c r="P428"/>
      <c r="Q428"/>
      <c r="R428"/>
    </row>
    <row r="429" spans="1:18" s="7" customFormat="1" ht="41.4" x14ac:dyDescent="0.3">
      <c r="A429" s="24">
        <v>417</v>
      </c>
      <c r="B429" s="12">
        <v>11</v>
      </c>
      <c r="C429" s="4" t="s">
        <v>11</v>
      </c>
      <c r="D429" s="4" t="s">
        <v>842</v>
      </c>
      <c r="E429" s="18" t="s">
        <v>862</v>
      </c>
      <c r="F429" s="18" t="s">
        <v>863</v>
      </c>
      <c r="G429" s="10" t="s">
        <v>83</v>
      </c>
      <c r="H429" s="10" t="s">
        <v>20</v>
      </c>
      <c r="I429" s="11">
        <v>3</v>
      </c>
      <c r="J429" s="11">
        <v>3</v>
      </c>
      <c r="K429" s="11"/>
      <c r="L429"/>
      <c r="M429"/>
      <c r="N429"/>
      <c r="O429"/>
      <c r="P429"/>
      <c r="Q429"/>
      <c r="R429"/>
    </row>
    <row r="430" spans="1:18" s="7" customFormat="1" ht="41.4" x14ac:dyDescent="0.3">
      <c r="A430" s="24">
        <v>418</v>
      </c>
      <c r="B430" s="12">
        <v>12</v>
      </c>
      <c r="C430" s="4" t="s">
        <v>11</v>
      </c>
      <c r="D430" s="4" t="s">
        <v>842</v>
      </c>
      <c r="E430" s="18" t="s">
        <v>864</v>
      </c>
      <c r="F430" s="18" t="s">
        <v>865</v>
      </c>
      <c r="G430" s="10" t="s">
        <v>83</v>
      </c>
      <c r="H430" s="10" t="s">
        <v>20</v>
      </c>
      <c r="I430" s="11">
        <v>2</v>
      </c>
      <c r="J430" s="11">
        <v>2</v>
      </c>
      <c r="K430" s="11"/>
      <c r="L430"/>
      <c r="M430"/>
      <c r="N430"/>
      <c r="O430"/>
      <c r="P430"/>
      <c r="Q430"/>
      <c r="R430"/>
    </row>
    <row r="431" spans="1:18" s="7" customFormat="1" ht="41.4" x14ac:dyDescent="0.3">
      <c r="A431" s="24">
        <v>419</v>
      </c>
      <c r="B431" s="12">
        <v>13</v>
      </c>
      <c r="C431" s="4" t="s">
        <v>11</v>
      </c>
      <c r="D431" s="4" t="s">
        <v>842</v>
      </c>
      <c r="E431" s="18" t="s">
        <v>866</v>
      </c>
      <c r="F431" s="18" t="s">
        <v>867</v>
      </c>
      <c r="G431" s="10" t="s">
        <v>83</v>
      </c>
      <c r="H431" s="10" t="s">
        <v>20</v>
      </c>
      <c r="I431" s="11">
        <v>2</v>
      </c>
      <c r="J431" s="11">
        <v>2</v>
      </c>
      <c r="K431" s="11"/>
      <c r="L431"/>
      <c r="M431"/>
      <c r="N431"/>
      <c r="O431"/>
      <c r="P431"/>
      <c r="Q431"/>
      <c r="R431"/>
    </row>
    <row r="432" spans="1:18" s="7" customFormat="1" ht="41.4" x14ac:dyDescent="0.3">
      <c r="A432" s="24">
        <v>420</v>
      </c>
      <c r="B432" s="12">
        <v>14</v>
      </c>
      <c r="C432" s="4" t="s">
        <v>11</v>
      </c>
      <c r="D432" s="4" t="s">
        <v>842</v>
      </c>
      <c r="E432" s="18" t="s">
        <v>868</v>
      </c>
      <c r="F432" s="18" t="s">
        <v>869</v>
      </c>
      <c r="G432" s="10" t="s">
        <v>83</v>
      </c>
      <c r="H432" s="10" t="s">
        <v>20</v>
      </c>
      <c r="I432" s="11">
        <v>1</v>
      </c>
      <c r="J432" s="11">
        <v>1</v>
      </c>
      <c r="K432" s="11"/>
      <c r="L432"/>
      <c r="M432"/>
      <c r="N432"/>
      <c r="O432"/>
      <c r="P432"/>
      <c r="Q432"/>
      <c r="R432"/>
    </row>
    <row r="433" spans="1:18" s="7" customFormat="1" ht="41.4" x14ac:dyDescent="0.3">
      <c r="A433" s="24">
        <v>421</v>
      </c>
      <c r="B433" s="12">
        <v>15</v>
      </c>
      <c r="C433" s="4" t="s">
        <v>11</v>
      </c>
      <c r="D433" s="4" t="s">
        <v>842</v>
      </c>
      <c r="E433" s="18" t="s">
        <v>870</v>
      </c>
      <c r="F433" s="18" t="s">
        <v>871</v>
      </c>
      <c r="G433" s="10" t="s">
        <v>83</v>
      </c>
      <c r="H433" s="10" t="s">
        <v>20</v>
      </c>
      <c r="I433" s="11">
        <v>1</v>
      </c>
      <c r="J433" s="11">
        <v>1</v>
      </c>
      <c r="K433" s="11"/>
      <c r="L433"/>
      <c r="M433"/>
      <c r="N433"/>
      <c r="O433"/>
      <c r="P433"/>
      <c r="Q433"/>
      <c r="R433"/>
    </row>
    <row r="434" spans="1:18" s="7" customFormat="1" ht="41.4" x14ac:dyDescent="0.3">
      <c r="A434" s="24">
        <v>422</v>
      </c>
      <c r="B434" s="3">
        <v>1</v>
      </c>
      <c r="C434" s="4" t="s">
        <v>11</v>
      </c>
      <c r="D434" s="4" t="s">
        <v>872</v>
      </c>
      <c r="E434" s="18" t="s">
        <v>873</v>
      </c>
      <c r="F434" s="18" t="s">
        <v>874</v>
      </c>
      <c r="G434" s="10" t="s">
        <v>83</v>
      </c>
      <c r="H434" s="10" t="s">
        <v>20</v>
      </c>
      <c r="I434" s="11">
        <v>5</v>
      </c>
      <c r="J434" s="11">
        <v>5</v>
      </c>
      <c r="K434" s="11"/>
      <c r="L434"/>
      <c r="M434"/>
      <c r="N434"/>
      <c r="O434"/>
      <c r="P434"/>
      <c r="Q434"/>
      <c r="R434"/>
    </row>
    <row r="435" spans="1:18" s="7" customFormat="1" ht="41.4" x14ac:dyDescent="0.3">
      <c r="A435" s="24">
        <v>423</v>
      </c>
      <c r="B435" s="3">
        <v>2</v>
      </c>
      <c r="C435" s="4" t="s">
        <v>11</v>
      </c>
      <c r="D435" s="4" t="s">
        <v>872</v>
      </c>
      <c r="E435" s="18" t="s">
        <v>875</v>
      </c>
      <c r="F435" s="18" t="s">
        <v>876</v>
      </c>
      <c r="G435" s="10" t="s">
        <v>83</v>
      </c>
      <c r="H435" s="10" t="s">
        <v>20</v>
      </c>
      <c r="I435" s="11">
        <v>5</v>
      </c>
      <c r="J435" s="11">
        <v>5</v>
      </c>
      <c r="K435" s="11"/>
      <c r="L435"/>
      <c r="M435"/>
      <c r="N435"/>
      <c r="O435"/>
      <c r="P435"/>
      <c r="Q435"/>
      <c r="R435"/>
    </row>
    <row r="436" spans="1:18" s="7" customFormat="1" ht="41.4" x14ac:dyDescent="0.3">
      <c r="A436" s="24">
        <v>424</v>
      </c>
      <c r="B436" s="3">
        <v>3</v>
      </c>
      <c r="C436" s="4" t="s">
        <v>11</v>
      </c>
      <c r="D436" s="4" t="s">
        <v>872</v>
      </c>
      <c r="E436" s="18" t="s">
        <v>877</v>
      </c>
      <c r="F436" s="18" t="s">
        <v>878</v>
      </c>
      <c r="G436" s="10" t="s">
        <v>83</v>
      </c>
      <c r="H436" s="10" t="s">
        <v>20</v>
      </c>
      <c r="I436" s="11">
        <v>5</v>
      </c>
      <c r="J436" s="11">
        <v>5</v>
      </c>
      <c r="K436" s="11"/>
      <c r="L436"/>
      <c r="M436"/>
      <c r="N436"/>
      <c r="O436"/>
      <c r="P436"/>
      <c r="Q436"/>
      <c r="R436"/>
    </row>
    <row r="437" spans="1:18" s="7" customFormat="1" ht="41.4" x14ac:dyDescent="0.3">
      <c r="A437" s="24">
        <v>425</v>
      </c>
      <c r="B437" s="3">
        <v>4</v>
      </c>
      <c r="C437" s="4" t="s">
        <v>11</v>
      </c>
      <c r="D437" s="4" t="s">
        <v>872</v>
      </c>
      <c r="E437" s="18" t="s">
        <v>879</v>
      </c>
      <c r="F437" s="18" t="s">
        <v>880</v>
      </c>
      <c r="G437" s="10" t="s">
        <v>83</v>
      </c>
      <c r="H437" s="10" t="s">
        <v>20</v>
      </c>
      <c r="I437" s="11">
        <v>4</v>
      </c>
      <c r="J437" s="11">
        <v>4</v>
      </c>
      <c r="K437" s="11"/>
      <c r="L437"/>
      <c r="M437"/>
      <c r="N437"/>
      <c r="O437"/>
      <c r="P437"/>
      <c r="Q437"/>
      <c r="R437"/>
    </row>
    <row r="438" spans="1:18" s="7" customFormat="1" ht="41.4" x14ac:dyDescent="0.3">
      <c r="A438" s="24">
        <v>426</v>
      </c>
      <c r="B438" s="3">
        <v>5</v>
      </c>
      <c r="C438" s="4" t="s">
        <v>11</v>
      </c>
      <c r="D438" s="4" t="s">
        <v>872</v>
      </c>
      <c r="E438" s="18" t="s">
        <v>881</v>
      </c>
      <c r="F438" s="18" t="s">
        <v>882</v>
      </c>
      <c r="G438" s="10" t="s">
        <v>83</v>
      </c>
      <c r="H438" s="10" t="s">
        <v>20</v>
      </c>
      <c r="I438" s="11">
        <v>4</v>
      </c>
      <c r="J438" s="11">
        <v>4</v>
      </c>
      <c r="K438" s="11"/>
      <c r="L438"/>
      <c r="M438"/>
      <c r="N438"/>
      <c r="O438"/>
      <c r="P438"/>
      <c r="Q438"/>
      <c r="R438"/>
    </row>
    <row r="439" spans="1:18" s="7" customFormat="1" ht="41.4" x14ac:dyDescent="0.3">
      <c r="A439" s="24">
        <v>427</v>
      </c>
      <c r="B439" s="3">
        <v>6</v>
      </c>
      <c r="C439" s="4" t="s">
        <v>11</v>
      </c>
      <c r="D439" s="4" t="s">
        <v>872</v>
      </c>
      <c r="E439" s="18" t="s">
        <v>883</v>
      </c>
      <c r="F439" s="18" t="s">
        <v>884</v>
      </c>
      <c r="G439" s="10" t="s">
        <v>83</v>
      </c>
      <c r="H439" s="10" t="s">
        <v>20</v>
      </c>
      <c r="I439" s="11">
        <v>4</v>
      </c>
      <c r="J439" s="11">
        <v>4</v>
      </c>
      <c r="K439" s="11"/>
      <c r="L439"/>
      <c r="M439"/>
      <c r="N439"/>
      <c r="O439"/>
      <c r="P439"/>
      <c r="Q439"/>
      <c r="R439"/>
    </row>
    <row r="440" spans="1:18" s="7" customFormat="1" ht="41.4" x14ac:dyDescent="0.3">
      <c r="A440" s="24">
        <v>428</v>
      </c>
      <c r="B440" s="3">
        <v>7</v>
      </c>
      <c r="C440" s="4" t="s">
        <v>11</v>
      </c>
      <c r="D440" s="4" t="s">
        <v>872</v>
      </c>
      <c r="E440" s="18" t="s">
        <v>885</v>
      </c>
      <c r="F440" s="18" t="s">
        <v>886</v>
      </c>
      <c r="G440" s="10" t="s">
        <v>83</v>
      </c>
      <c r="H440" s="10" t="s">
        <v>20</v>
      </c>
      <c r="I440" s="11">
        <v>4</v>
      </c>
      <c r="J440" s="11">
        <v>4</v>
      </c>
      <c r="K440" s="11"/>
      <c r="L440"/>
      <c r="M440"/>
      <c r="N440"/>
      <c r="O440"/>
      <c r="P440"/>
      <c r="Q440"/>
      <c r="R440"/>
    </row>
    <row r="441" spans="1:18" s="7" customFormat="1" ht="41.4" x14ac:dyDescent="0.3">
      <c r="A441" s="24">
        <v>429</v>
      </c>
      <c r="B441" s="3">
        <v>8</v>
      </c>
      <c r="C441" s="4" t="s">
        <v>11</v>
      </c>
      <c r="D441" s="4" t="s">
        <v>872</v>
      </c>
      <c r="E441" s="18" t="s">
        <v>887</v>
      </c>
      <c r="F441" s="18" t="s">
        <v>888</v>
      </c>
      <c r="G441" s="10" t="s">
        <v>83</v>
      </c>
      <c r="H441" s="10" t="s">
        <v>20</v>
      </c>
      <c r="I441" s="11">
        <v>4</v>
      </c>
      <c r="J441" s="11">
        <v>4</v>
      </c>
      <c r="K441" s="11"/>
      <c r="L441"/>
      <c r="M441"/>
      <c r="N441"/>
      <c r="O441"/>
      <c r="P441"/>
      <c r="Q441"/>
      <c r="R441"/>
    </row>
    <row r="442" spans="1:18" s="7" customFormat="1" ht="41.4" x14ac:dyDescent="0.3">
      <c r="A442" s="24">
        <v>430</v>
      </c>
      <c r="B442" s="3">
        <v>9</v>
      </c>
      <c r="C442" s="4" t="s">
        <v>11</v>
      </c>
      <c r="D442" s="4" t="s">
        <v>872</v>
      </c>
      <c r="E442" s="18" t="s">
        <v>889</v>
      </c>
      <c r="F442" s="18" t="s">
        <v>890</v>
      </c>
      <c r="G442" s="10" t="s">
        <v>83</v>
      </c>
      <c r="H442" s="10" t="s">
        <v>20</v>
      </c>
      <c r="I442" s="11">
        <v>4</v>
      </c>
      <c r="J442" s="11">
        <v>4</v>
      </c>
      <c r="K442" s="11"/>
      <c r="L442"/>
      <c r="M442"/>
      <c r="N442"/>
      <c r="O442"/>
      <c r="P442"/>
      <c r="Q442"/>
      <c r="R442"/>
    </row>
    <row r="443" spans="1:18" s="7" customFormat="1" ht="41.4" x14ac:dyDescent="0.3">
      <c r="A443" s="24">
        <v>431</v>
      </c>
      <c r="B443" s="3">
        <v>10</v>
      </c>
      <c r="C443" s="4" t="s">
        <v>11</v>
      </c>
      <c r="D443" s="4" t="s">
        <v>872</v>
      </c>
      <c r="E443" s="18" t="s">
        <v>891</v>
      </c>
      <c r="F443" s="18" t="s">
        <v>892</v>
      </c>
      <c r="G443" s="10" t="s">
        <v>83</v>
      </c>
      <c r="H443" s="10" t="s">
        <v>20</v>
      </c>
      <c r="I443" s="11">
        <v>3</v>
      </c>
      <c r="J443" s="11">
        <v>3</v>
      </c>
      <c r="K443" s="11"/>
      <c r="L443"/>
      <c r="M443"/>
      <c r="N443"/>
      <c r="O443"/>
      <c r="P443"/>
      <c r="Q443"/>
      <c r="R443"/>
    </row>
    <row r="444" spans="1:18" s="7" customFormat="1" ht="30.6" x14ac:dyDescent="0.3">
      <c r="A444" s="24">
        <v>432</v>
      </c>
      <c r="B444" s="3">
        <v>11</v>
      </c>
      <c r="C444" s="4" t="s">
        <v>11</v>
      </c>
      <c r="D444" s="4" t="s">
        <v>872</v>
      </c>
      <c r="E444" s="18" t="s">
        <v>276</v>
      </c>
      <c r="F444" s="18" t="s">
        <v>893</v>
      </c>
      <c r="G444" s="10" t="s">
        <v>83</v>
      </c>
      <c r="H444" s="10" t="s">
        <v>20</v>
      </c>
      <c r="I444" s="11">
        <v>3</v>
      </c>
      <c r="J444" s="11">
        <v>3</v>
      </c>
      <c r="K444" s="11"/>
      <c r="L444"/>
      <c r="M444"/>
      <c r="N444"/>
      <c r="O444"/>
      <c r="P444"/>
      <c r="Q444"/>
      <c r="R444"/>
    </row>
    <row r="445" spans="1:18" s="7" customFormat="1" ht="41.4" x14ac:dyDescent="0.3">
      <c r="A445" s="24">
        <v>433</v>
      </c>
      <c r="B445" s="3">
        <v>12</v>
      </c>
      <c r="C445" s="4" t="s">
        <v>11</v>
      </c>
      <c r="D445" s="4" t="s">
        <v>872</v>
      </c>
      <c r="E445" s="18" t="s">
        <v>894</v>
      </c>
      <c r="F445" s="18" t="s">
        <v>895</v>
      </c>
      <c r="G445" s="10" t="s">
        <v>83</v>
      </c>
      <c r="H445" s="10" t="s">
        <v>20</v>
      </c>
      <c r="I445" s="11">
        <v>3</v>
      </c>
      <c r="J445" s="11">
        <v>3</v>
      </c>
      <c r="K445" s="11"/>
      <c r="L445"/>
      <c r="M445"/>
      <c r="N445"/>
      <c r="O445"/>
      <c r="P445"/>
      <c r="Q445"/>
      <c r="R445"/>
    </row>
    <row r="446" spans="1:18" s="7" customFormat="1" ht="41.4" x14ac:dyDescent="0.3">
      <c r="A446" s="24">
        <v>434</v>
      </c>
      <c r="B446" s="3">
        <v>13</v>
      </c>
      <c r="C446" s="4" t="s">
        <v>11</v>
      </c>
      <c r="D446" s="4" t="s">
        <v>872</v>
      </c>
      <c r="E446" s="18" t="s">
        <v>896</v>
      </c>
      <c r="F446" s="18" t="s">
        <v>897</v>
      </c>
      <c r="G446" s="10" t="s">
        <v>83</v>
      </c>
      <c r="H446" s="10" t="s">
        <v>20</v>
      </c>
      <c r="I446" s="11">
        <v>3</v>
      </c>
      <c r="J446" s="11">
        <v>3</v>
      </c>
      <c r="K446" s="11"/>
      <c r="L446"/>
      <c r="M446"/>
      <c r="N446"/>
      <c r="O446"/>
      <c r="P446"/>
      <c r="Q446"/>
      <c r="R446"/>
    </row>
    <row r="447" spans="1:18" s="7" customFormat="1" ht="41.4" x14ac:dyDescent="0.3">
      <c r="A447" s="24">
        <v>435</v>
      </c>
      <c r="B447" s="3">
        <v>14</v>
      </c>
      <c r="C447" s="4" t="s">
        <v>11</v>
      </c>
      <c r="D447" s="4" t="s">
        <v>872</v>
      </c>
      <c r="E447" s="18" t="s">
        <v>898</v>
      </c>
      <c r="F447" s="18" t="s">
        <v>899</v>
      </c>
      <c r="G447" s="10" t="s">
        <v>83</v>
      </c>
      <c r="H447" s="10" t="s">
        <v>20</v>
      </c>
      <c r="I447" s="11">
        <v>3</v>
      </c>
      <c r="J447" s="11">
        <v>3</v>
      </c>
      <c r="K447" s="11"/>
      <c r="L447"/>
      <c r="M447"/>
      <c r="N447"/>
      <c r="O447"/>
      <c r="P447"/>
      <c r="Q447"/>
      <c r="R447"/>
    </row>
    <row r="448" spans="1:18" s="7" customFormat="1" ht="41.4" x14ac:dyDescent="0.3">
      <c r="A448" s="24">
        <v>436</v>
      </c>
      <c r="B448" s="3">
        <v>15</v>
      </c>
      <c r="C448" s="4" t="s">
        <v>11</v>
      </c>
      <c r="D448" s="4" t="s">
        <v>872</v>
      </c>
      <c r="E448" s="18" t="s">
        <v>900</v>
      </c>
      <c r="F448" s="18" t="s">
        <v>901</v>
      </c>
      <c r="G448" s="10" t="s">
        <v>83</v>
      </c>
      <c r="H448" s="10" t="s">
        <v>20</v>
      </c>
      <c r="I448" s="11">
        <v>3</v>
      </c>
      <c r="J448" s="11">
        <v>3</v>
      </c>
      <c r="K448" s="11"/>
      <c r="L448"/>
      <c r="M448"/>
      <c r="N448"/>
      <c r="O448"/>
      <c r="P448"/>
      <c r="Q448"/>
      <c r="R448"/>
    </row>
    <row r="449" spans="1:18" s="7" customFormat="1" ht="41.4" x14ac:dyDescent="0.3">
      <c r="A449" s="24">
        <v>437</v>
      </c>
      <c r="B449" s="3">
        <v>16</v>
      </c>
      <c r="C449" s="4" t="s">
        <v>11</v>
      </c>
      <c r="D449" s="4" t="s">
        <v>872</v>
      </c>
      <c r="E449" s="18" t="s">
        <v>902</v>
      </c>
      <c r="F449" s="18" t="s">
        <v>903</v>
      </c>
      <c r="G449" s="10" t="s">
        <v>83</v>
      </c>
      <c r="H449" s="10" t="s">
        <v>20</v>
      </c>
      <c r="I449" s="11">
        <v>3</v>
      </c>
      <c r="J449" s="11">
        <v>3</v>
      </c>
      <c r="K449" s="11"/>
      <c r="L449"/>
      <c r="M449"/>
      <c r="N449"/>
      <c r="O449"/>
      <c r="P449"/>
      <c r="Q449"/>
      <c r="R449"/>
    </row>
    <row r="450" spans="1:18" s="7" customFormat="1" ht="41.4" x14ac:dyDescent="0.3">
      <c r="A450" s="24">
        <v>438</v>
      </c>
      <c r="B450" s="3">
        <v>17</v>
      </c>
      <c r="C450" s="4" t="s">
        <v>11</v>
      </c>
      <c r="D450" s="4" t="s">
        <v>872</v>
      </c>
      <c r="E450" s="18" t="s">
        <v>904</v>
      </c>
      <c r="F450" s="18" t="s">
        <v>905</v>
      </c>
      <c r="G450" s="10" t="s">
        <v>83</v>
      </c>
      <c r="H450" s="10" t="s">
        <v>20</v>
      </c>
      <c r="I450" s="11">
        <v>2</v>
      </c>
      <c r="J450" s="11">
        <v>2</v>
      </c>
      <c r="K450" s="11"/>
      <c r="L450"/>
      <c r="M450"/>
      <c r="N450"/>
      <c r="O450"/>
      <c r="P450"/>
      <c r="Q450"/>
      <c r="R450"/>
    </row>
    <row r="451" spans="1:18" s="7" customFormat="1" ht="41.4" x14ac:dyDescent="0.3">
      <c r="A451" s="24">
        <v>439</v>
      </c>
      <c r="B451" s="3">
        <v>18</v>
      </c>
      <c r="C451" s="4" t="s">
        <v>11</v>
      </c>
      <c r="D451" s="4" t="s">
        <v>872</v>
      </c>
      <c r="E451" s="18" t="s">
        <v>906</v>
      </c>
      <c r="F451" s="18" t="s">
        <v>907</v>
      </c>
      <c r="G451" s="10" t="s">
        <v>83</v>
      </c>
      <c r="H451" s="10" t="s">
        <v>20</v>
      </c>
      <c r="I451" s="11">
        <v>2</v>
      </c>
      <c r="J451" s="11">
        <v>2</v>
      </c>
      <c r="K451" s="11"/>
      <c r="L451"/>
      <c r="M451"/>
      <c r="N451"/>
      <c r="O451"/>
      <c r="P451"/>
      <c r="Q451"/>
      <c r="R451"/>
    </row>
    <row r="452" spans="1:18" s="7" customFormat="1" ht="41.4" x14ac:dyDescent="0.3">
      <c r="A452" s="24">
        <v>440</v>
      </c>
      <c r="B452" s="3">
        <v>19</v>
      </c>
      <c r="C452" s="4" t="s">
        <v>11</v>
      </c>
      <c r="D452" s="4" t="s">
        <v>872</v>
      </c>
      <c r="E452" s="18" t="s">
        <v>908</v>
      </c>
      <c r="F452" s="18" t="s">
        <v>909</v>
      </c>
      <c r="G452" s="10" t="s">
        <v>83</v>
      </c>
      <c r="H452" s="10" t="s">
        <v>20</v>
      </c>
      <c r="I452" s="11">
        <v>2</v>
      </c>
      <c r="J452" s="11">
        <v>2</v>
      </c>
      <c r="K452" s="11"/>
      <c r="L452"/>
      <c r="M452"/>
      <c r="N452"/>
      <c r="O452"/>
      <c r="P452"/>
      <c r="Q452"/>
      <c r="R452"/>
    </row>
    <row r="453" spans="1:18" s="7" customFormat="1" ht="41.4" x14ac:dyDescent="0.3">
      <c r="A453" s="24">
        <v>441</v>
      </c>
      <c r="B453" s="3">
        <v>20</v>
      </c>
      <c r="C453" s="4" t="s">
        <v>11</v>
      </c>
      <c r="D453" s="4" t="s">
        <v>872</v>
      </c>
      <c r="E453" s="18" t="s">
        <v>910</v>
      </c>
      <c r="F453" s="18" t="s">
        <v>911</v>
      </c>
      <c r="G453" s="10" t="s">
        <v>83</v>
      </c>
      <c r="H453" s="10" t="s">
        <v>20</v>
      </c>
      <c r="I453" s="11">
        <v>1</v>
      </c>
      <c r="J453" s="11">
        <v>1</v>
      </c>
      <c r="K453" s="11"/>
      <c r="L453"/>
      <c r="M453"/>
      <c r="N453"/>
      <c r="O453"/>
      <c r="P453"/>
      <c r="Q453"/>
      <c r="R453"/>
    </row>
  </sheetData>
  <autoFilter ref="A11:K453" xr:uid="{37567D58-CA67-4504-A4BC-BC0ED48E61B2}"/>
  <mergeCells count="11">
    <mergeCell ref="M7:Y7"/>
    <mergeCell ref="AA7:AN7"/>
    <mergeCell ref="AP7:BI7"/>
    <mergeCell ref="A5:K8"/>
    <mergeCell ref="M10:N11"/>
    <mergeCell ref="O10:Q10"/>
    <mergeCell ref="S10:U10"/>
    <mergeCell ref="W10:Y10"/>
    <mergeCell ref="O11:Q11"/>
    <mergeCell ref="S11:U11"/>
    <mergeCell ref="W11:Y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DB - Special Building</vt:lpstr>
      <vt:lpstr>Case 01 - Lumi</vt:lpstr>
      <vt:lpstr>Case 02 - ICBC Tower</vt:lpstr>
      <vt:lpstr>Case 03 - BEEAH Headquarters</vt:lpstr>
      <vt:lpstr>Case 04 - Taipei 101</vt:lpstr>
      <vt:lpstr>Case 05 - Salesforce Tower</vt:lpstr>
      <vt:lpstr>Case 06 - Vanouver Centre II</vt:lpstr>
      <vt:lpstr>Case 07 - Pasoa Headquarters</vt:lpstr>
      <vt:lpstr>Case 08 - Collins Arch</vt:lpstr>
      <vt:lpstr>Case 09 - The Edge</vt:lpstr>
      <vt:lpstr>Case 10 - Bullitt Center</vt:lpstr>
      <vt:lpstr>Case 11 - Ras El-Hekma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Doaa yacout�</dc:creator>
  <cp:lastModifiedBy>Dr. Doaa yacout�</cp:lastModifiedBy>
  <dcterms:created xsi:type="dcterms:W3CDTF">2026-05-08T05:48:11Z</dcterms:created>
  <dcterms:modified xsi:type="dcterms:W3CDTF">2026-05-24T20:30:52Z</dcterms:modified>
</cp:coreProperties>
</file>